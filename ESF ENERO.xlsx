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5037094-CB82-416F-B265-762B6C7C0BE0}" xr6:coauthVersionLast="47" xr6:coauthVersionMax="47" xr10:uidLastSave="{00000000-0000-0000-0000-000000000000}"/>
  <bookViews>
    <workbookView xWindow="-120" yWindow="-120" windowWidth="20730" windowHeight="11040" tabRatio="698" xr2:uid="{00000000-000D-0000-FFFF-FFFF00000000}"/>
  </bookViews>
  <sheets>
    <sheet name="ESF" sheetId="4" r:id="rId1"/>
    <sheet name="ERI" sheetId="5" r:id="rId2"/>
    <sheet name="NOTAS ESF" sheetId="6" r:id="rId3"/>
    <sheet name="NOTAS ERI" sheetId="9" r:id="rId4"/>
    <sheet name="CER RETE FUENTE" sheetId="12" state="hidden" r:id="rId5"/>
    <sheet name="COMPARATIVO RENTA" sheetId="18" state="hidden" r:id="rId6"/>
    <sheet name="CXC" sheetId="16" state="hidden" r:id="rId7"/>
    <sheet name="CXP" sheetId="17" state="hidden" r:id="rId8"/>
    <sheet name="POR PAGAR" sheetId="13" state="hidden" r:id="rId9"/>
    <sheet name="MOVIMIENTO" sheetId="14" state="hidden" r:id="rId10"/>
    <sheet name="DIAN" sheetId="15" state="hidden" r:id="rId11"/>
    <sheet name="DEPRECIACION" sheetId="11" state="hidden" r:id="rId12"/>
    <sheet name="IND Y COM" sheetId="19" state="hidden" r:id="rId13"/>
  </sheets>
  <externalReferences>
    <externalReference r:id="rId14"/>
  </externalReferences>
  <calcPr calcId="191029"/>
</workbook>
</file>

<file path=xl/calcChain.xml><?xml version="1.0" encoding="utf-8"?>
<calcChain xmlns="http://schemas.openxmlformats.org/spreadsheetml/2006/main">
  <c r="F36" i="4" l="1"/>
  <c r="N173" i="9"/>
  <c r="B112" i="6"/>
  <c r="F44" i="4"/>
  <c r="F42" i="4"/>
  <c r="F40" i="4"/>
  <c r="F33" i="4"/>
  <c r="F29" i="4"/>
  <c r="F26" i="4"/>
  <c r="F16" i="4"/>
  <c r="F15" i="4"/>
  <c r="F17" i="4" s="1"/>
  <c r="F34" i="4"/>
  <c r="E42" i="5"/>
  <c r="E38" i="5"/>
  <c r="E37" i="5"/>
  <c r="E36" i="5"/>
  <c r="E35" i="5"/>
  <c r="E34" i="5"/>
  <c r="E33" i="5"/>
  <c r="E32" i="5"/>
  <c r="E31" i="5"/>
  <c r="E30" i="5"/>
  <c r="E29" i="5"/>
  <c r="E28" i="5"/>
  <c r="E17" i="5"/>
  <c r="E13" i="5"/>
  <c r="F49" i="5"/>
  <c r="F42" i="5"/>
  <c r="F38" i="5"/>
  <c r="F34" i="5"/>
  <c r="F33" i="5"/>
  <c r="F32" i="5"/>
  <c r="F26" i="5" s="1"/>
  <c r="F31" i="5"/>
  <c r="F30" i="5"/>
  <c r="F29" i="5"/>
  <c r="F28" i="5"/>
  <c r="F17" i="5"/>
  <c r="F15" i="5"/>
  <c r="F20" i="5" s="1"/>
  <c r="F13" i="5"/>
  <c r="F12" i="5"/>
  <c r="F10" i="5"/>
  <c r="G42" i="5"/>
  <c r="G38" i="5"/>
  <c r="G34" i="5"/>
  <c r="G33" i="5"/>
  <c r="G32" i="5"/>
  <c r="G31" i="5"/>
  <c r="G30" i="5"/>
  <c r="G29" i="5"/>
  <c r="G28" i="5"/>
  <c r="G17" i="5"/>
  <c r="G15" i="5"/>
  <c r="G13" i="5"/>
  <c r="G12" i="5"/>
  <c r="G10" i="5"/>
  <c r="G20" i="5" s="1"/>
  <c r="H49" i="5"/>
  <c r="H42" i="5"/>
  <c r="H38" i="5"/>
  <c r="H34" i="5"/>
  <c r="H33" i="5"/>
  <c r="H32" i="5"/>
  <c r="H31" i="5"/>
  <c r="H30" i="5"/>
  <c r="H29" i="5"/>
  <c r="H28" i="5"/>
  <c r="H17" i="5"/>
  <c r="H15" i="5"/>
  <c r="H13" i="5"/>
  <c r="H12" i="5"/>
  <c r="I49" i="5"/>
  <c r="I42" i="5"/>
  <c r="I38" i="5"/>
  <c r="I34" i="5"/>
  <c r="I33" i="5"/>
  <c r="I32" i="5"/>
  <c r="I31" i="5"/>
  <c r="I30" i="5"/>
  <c r="I29" i="5"/>
  <c r="I28" i="5"/>
  <c r="I17" i="5"/>
  <c r="I15" i="5"/>
  <c r="I13" i="5"/>
  <c r="I12" i="5"/>
  <c r="I10" i="5"/>
  <c r="J42" i="5"/>
  <c r="J38" i="5"/>
  <c r="J34" i="5"/>
  <c r="J33" i="5"/>
  <c r="J32" i="5"/>
  <c r="J31" i="5"/>
  <c r="J30" i="5"/>
  <c r="J29" i="5"/>
  <c r="J28" i="5"/>
  <c r="J17" i="5"/>
  <c r="J15" i="5"/>
  <c r="J13" i="5"/>
  <c r="J10" i="5" s="1"/>
  <c r="J12" i="5"/>
  <c r="K49" i="5"/>
  <c r="K42" i="5"/>
  <c r="K38" i="5"/>
  <c r="K34" i="5"/>
  <c r="K33" i="5"/>
  <c r="K32" i="5"/>
  <c r="K31" i="5"/>
  <c r="K30" i="5"/>
  <c r="K29" i="5"/>
  <c r="K28" i="5"/>
  <c r="K17" i="5"/>
  <c r="K15" i="5"/>
  <c r="K13" i="5"/>
  <c r="K12" i="5"/>
  <c r="K10" i="5" s="1"/>
  <c r="K20" i="5" s="1"/>
  <c r="L49" i="5"/>
  <c r="L42" i="5"/>
  <c r="L38" i="5"/>
  <c r="L34" i="5"/>
  <c r="L33" i="5"/>
  <c r="L32" i="5"/>
  <c r="L31" i="5"/>
  <c r="L30" i="5"/>
  <c r="L29" i="5"/>
  <c r="L28" i="5"/>
  <c r="L17" i="5"/>
  <c r="L15" i="5" s="1"/>
  <c r="L13" i="5"/>
  <c r="L12" i="5"/>
  <c r="L10" i="5" s="1"/>
  <c r="M42" i="5"/>
  <c r="M38" i="5"/>
  <c r="M34" i="5"/>
  <c r="M33" i="5"/>
  <c r="M32" i="5"/>
  <c r="M31" i="5"/>
  <c r="M30" i="5"/>
  <c r="M29" i="5"/>
  <c r="M28" i="5"/>
  <c r="M17" i="5"/>
  <c r="M15" i="5" s="1"/>
  <c r="M13" i="5"/>
  <c r="M12" i="5"/>
  <c r="N49" i="5"/>
  <c r="N42" i="5"/>
  <c r="N38" i="5"/>
  <c r="N34" i="5"/>
  <c r="N33" i="5"/>
  <c r="N32" i="5"/>
  <c r="N31" i="5"/>
  <c r="N30" i="5"/>
  <c r="N29" i="5"/>
  <c r="N28" i="5"/>
  <c r="N17" i="5"/>
  <c r="N15" i="5" s="1"/>
  <c r="N13" i="5"/>
  <c r="N12" i="5"/>
  <c r="O49" i="5"/>
  <c r="O42" i="5"/>
  <c r="O38" i="5"/>
  <c r="O34" i="5"/>
  <c r="O33" i="5"/>
  <c r="O32" i="5"/>
  <c r="O31" i="5"/>
  <c r="O30" i="5"/>
  <c r="O29" i="5"/>
  <c r="O28" i="5"/>
  <c r="O17" i="5"/>
  <c r="O15" i="5" s="1"/>
  <c r="O13" i="5"/>
  <c r="O12" i="5"/>
  <c r="P49" i="5"/>
  <c r="P42" i="5"/>
  <c r="P38" i="5"/>
  <c r="P34" i="5"/>
  <c r="P33" i="5"/>
  <c r="P32" i="5"/>
  <c r="P31" i="5"/>
  <c r="P30" i="5"/>
  <c r="P29" i="5"/>
  <c r="P28" i="5"/>
  <c r="P17" i="5"/>
  <c r="P15" i="5"/>
  <c r="P13" i="5"/>
  <c r="P12" i="5"/>
  <c r="Q42" i="5"/>
  <c r="Q38" i="5"/>
  <c r="Q34" i="5"/>
  <c r="Q33" i="5"/>
  <c r="Q32" i="5"/>
  <c r="Q31" i="5"/>
  <c r="Q30" i="5"/>
  <c r="Q29" i="5"/>
  <c r="Q28" i="5"/>
  <c r="Q17" i="5"/>
  <c r="Q13" i="5"/>
  <c r="E49" i="5"/>
  <c r="Q49" i="5"/>
  <c r="B123" i="6"/>
  <c r="B122" i="6"/>
  <c r="B121" i="6"/>
  <c r="B120" i="6"/>
  <c r="B116" i="6"/>
  <c r="B111" i="6"/>
  <c r="B110" i="6"/>
  <c r="B109" i="6"/>
  <c r="B50" i="6"/>
  <c r="B51" i="6"/>
  <c r="B126" i="6"/>
  <c r="B125" i="6"/>
  <c r="B103" i="6"/>
  <c r="B99" i="6"/>
  <c r="B98" i="6" s="1"/>
  <c r="F27" i="4" s="1"/>
  <c r="B95" i="6"/>
  <c r="B79" i="6"/>
  <c r="B65" i="6"/>
  <c r="B62" i="6"/>
  <c r="B61" i="6"/>
  <c r="B58" i="6"/>
  <c r="B40" i="6"/>
  <c r="B15" i="6"/>
  <c r="B10" i="6"/>
  <c r="F10" i="4" s="1"/>
  <c r="F23" i="5" l="1"/>
  <c r="H10" i="5"/>
  <c r="G23" i="5"/>
  <c r="H20" i="5"/>
  <c r="H26" i="5"/>
  <c r="N10" i="5"/>
  <c r="N20" i="5" s="1"/>
  <c r="N23" i="5" s="1"/>
  <c r="G26" i="5"/>
  <c r="M10" i="5"/>
  <c r="H23" i="5"/>
  <c r="I20" i="5"/>
  <c r="I23" i="5" s="1"/>
  <c r="I26" i="5"/>
  <c r="J26" i="5"/>
  <c r="J20" i="5"/>
  <c r="J23" i="5"/>
  <c r="K26" i="5"/>
  <c r="L20" i="5"/>
  <c r="L23" i="5" s="1"/>
  <c r="K23" i="5"/>
  <c r="L26" i="5"/>
  <c r="M26" i="5"/>
  <c r="M20" i="5"/>
  <c r="M23" i="5"/>
  <c r="N26" i="5"/>
  <c r="O10" i="5"/>
  <c r="O20" i="5" s="1"/>
  <c r="O23" i="5" s="1"/>
  <c r="O26" i="5"/>
  <c r="P10" i="5"/>
  <c r="P20" i="5" s="1"/>
  <c r="P23" i="5" s="1"/>
  <c r="P26" i="5"/>
  <c r="B168" i="9" l="1"/>
  <c r="B163" i="9"/>
  <c r="B162" i="9"/>
  <c r="B161" i="9"/>
  <c r="B160" i="9"/>
  <c r="B159" i="9"/>
  <c r="B158" i="9"/>
  <c r="B146" i="9"/>
  <c r="B139" i="9"/>
  <c r="B138" i="9"/>
  <c r="B137" i="9"/>
  <c r="B131" i="9"/>
  <c r="B130" i="9"/>
  <c r="B123" i="9"/>
  <c r="B118" i="9"/>
  <c r="B117" i="9"/>
  <c r="B116" i="9"/>
  <c r="B115" i="9"/>
  <c r="B108" i="9"/>
  <c r="B101" i="9"/>
  <c r="B100" i="9"/>
  <c r="B99" i="9"/>
  <c r="B98" i="9"/>
  <c r="B97" i="9"/>
  <c r="B96" i="9"/>
  <c r="B95" i="9"/>
  <c r="B94" i="9"/>
  <c r="B93" i="9"/>
  <c r="B92" i="9"/>
  <c r="B87" i="9"/>
  <c r="B84" i="9"/>
  <c r="B79" i="9"/>
  <c r="B7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2" i="9"/>
  <c r="B37" i="9"/>
  <c r="B145" i="9"/>
  <c r="B144" i="9"/>
  <c r="B143" i="9"/>
  <c r="B142" i="9"/>
  <c r="B141" i="9"/>
  <c r="B140" i="9"/>
  <c r="B122" i="9"/>
  <c r="B38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11" i="9"/>
  <c r="C107" i="9"/>
  <c r="C86" i="9"/>
  <c r="C83" i="9"/>
  <c r="C78" i="9"/>
  <c r="C74" i="9"/>
  <c r="C41" i="9"/>
  <c r="D107" i="9"/>
  <c r="D86" i="9"/>
  <c r="D83" i="9"/>
  <c r="D78" i="9"/>
  <c r="D74" i="9"/>
  <c r="D41" i="9"/>
  <c r="E107" i="9"/>
  <c r="E86" i="9"/>
  <c r="E83" i="9"/>
  <c r="E78" i="9"/>
  <c r="E74" i="9"/>
  <c r="E41" i="9"/>
  <c r="F107" i="9"/>
  <c r="F86" i="9"/>
  <c r="F83" i="9"/>
  <c r="F78" i="9"/>
  <c r="F74" i="9"/>
  <c r="F41" i="9"/>
  <c r="G107" i="9"/>
  <c r="G86" i="9"/>
  <c r="G83" i="9"/>
  <c r="G78" i="9"/>
  <c r="G74" i="9"/>
  <c r="G41" i="9"/>
  <c r="H107" i="9"/>
  <c r="H86" i="9"/>
  <c r="H83" i="9"/>
  <c r="H78" i="9"/>
  <c r="H74" i="9"/>
  <c r="H41" i="9"/>
  <c r="I107" i="9"/>
  <c r="I86" i="9"/>
  <c r="I83" i="9"/>
  <c r="I78" i="9"/>
  <c r="I74" i="9"/>
  <c r="I41" i="9"/>
  <c r="J107" i="9"/>
  <c r="J86" i="9"/>
  <c r="J83" i="9"/>
  <c r="J78" i="9"/>
  <c r="J74" i="9"/>
  <c r="J41" i="9"/>
  <c r="K107" i="9"/>
  <c r="K86" i="9"/>
  <c r="K83" i="9"/>
  <c r="K78" i="9"/>
  <c r="K74" i="9"/>
  <c r="K41" i="9"/>
  <c r="L107" i="9"/>
  <c r="L86" i="9"/>
  <c r="L83" i="9"/>
  <c r="L78" i="9"/>
  <c r="L74" i="9"/>
  <c r="L41" i="9"/>
  <c r="M107" i="9"/>
  <c r="M86" i="9"/>
  <c r="M83" i="9"/>
  <c r="M78" i="9"/>
  <c r="M74" i="9"/>
  <c r="M41" i="9"/>
  <c r="E9" i="18"/>
  <c r="E11" i="18" s="1"/>
  <c r="E11" i="6"/>
  <c r="F11" i="6"/>
  <c r="G11" i="6"/>
  <c r="H11" i="6"/>
  <c r="I11" i="6"/>
  <c r="J11" i="6"/>
  <c r="K11" i="6"/>
  <c r="E30" i="6"/>
  <c r="F30" i="6"/>
  <c r="G30" i="6"/>
  <c r="H30" i="6"/>
  <c r="I30" i="6"/>
  <c r="J30" i="6"/>
  <c r="K30" i="6"/>
  <c r="L30" i="6"/>
  <c r="J18" i="12"/>
  <c r="H18" i="12"/>
  <c r="J17" i="12"/>
  <c r="E17" i="12"/>
  <c r="K52" i="6"/>
  <c r="J52" i="6" s="1"/>
  <c r="I52" i="6" s="1"/>
  <c r="H52" i="6" s="1"/>
  <c r="G52" i="6" s="1"/>
  <c r="F52" i="6" s="1"/>
  <c r="E52" i="6" s="1"/>
  <c r="D52" i="6" s="1"/>
  <c r="D17" i="12"/>
  <c r="H50" i="6"/>
  <c r="G50" i="6" s="1"/>
  <c r="F50" i="6" s="1"/>
  <c r="E50" i="6" s="1"/>
  <c r="D50" i="6" s="1"/>
  <c r="I50" i="6"/>
  <c r="J50" i="6"/>
  <c r="K50" i="6"/>
  <c r="E37" i="18"/>
  <c r="D37" i="18"/>
  <c r="E30" i="18"/>
  <c r="E24" i="18"/>
  <c r="D24" i="18"/>
  <c r="D30" i="18"/>
  <c r="E29" i="18"/>
  <c r="E34" i="18" s="1"/>
  <c r="D29" i="18"/>
  <c r="E10" i="18"/>
  <c r="D10" i="18"/>
  <c r="D9" i="18"/>
  <c r="D11" i="18" s="1"/>
  <c r="F78" i="18"/>
  <c r="R63" i="9"/>
  <c r="D34" i="18" l="1"/>
  <c r="E92" i="6" l="1"/>
  <c r="F92" i="6"/>
  <c r="G92" i="6"/>
  <c r="G110" i="6"/>
  <c r="F110" i="6"/>
  <c r="E110" i="6"/>
  <c r="D110" i="6"/>
  <c r="D40" i="6" l="1"/>
  <c r="H42" i="4"/>
  <c r="H40" i="4"/>
  <c r="X162" i="9"/>
  <c r="C17" i="12"/>
  <c r="T17" i="5"/>
  <c r="T15" i="5" s="1"/>
  <c r="T13" i="5"/>
  <c r="P168" i="9"/>
  <c r="M168" i="9" s="1"/>
  <c r="P163" i="9"/>
  <c r="M163" i="9" s="1"/>
  <c r="P159" i="9"/>
  <c r="P158" i="9"/>
  <c r="P138" i="9"/>
  <c r="P137" i="9"/>
  <c r="P131" i="9"/>
  <c r="M131" i="9" s="1"/>
  <c r="P130" i="9"/>
  <c r="M130" i="9" s="1"/>
  <c r="P123" i="9"/>
  <c r="M123" i="9" s="1"/>
  <c r="P116" i="9"/>
  <c r="M116" i="9" s="1"/>
  <c r="P108" i="9"/>
  <c r="P101" i="9"/>
  <c r="M101" i="9" s="1"/>
  <c r="P99" i="9"/>
  <c r="P98" i="9"/>
  <c r="P97" i="9"/>
  <c r="P96" i="9"/>
  <c r="P94" i="9"/>
  <c r="P92" i="9"/>
  <c r="P87" i="9"/>
  <c r="P84" i="9"/>
  <c r="P79" i="9"/>
  <c r="P75" i="9"/>
  <c r="P64" i="9"/>
  <c r="P61" i="9"/>
  <c r="P60" i="9"/>
  <c r="P55" i="9"/>
  <c r="P53" i="9"/>
  <c r="P51" i="9"/>
  <c r="P49" i="9"/>
  <c r="P42" i="9"/>
  <c r="P38" i="9"/>
  <c r="P37" i="9"/>
  <c r="M37" i="9" s="1"/>
  <c r="P36" i="9"/>
  <c r="P35" i="9"/>
  <c r="M35" i="9" s="1"/>
  <c r="P33" i="9"/>
  <c r="P32" i="9"/>
  <c r="M32" i="9" s="1"/>
  <c r="P31" i="9"/>
  <c r="M31" i="9" s="1"/>
  <c r="P30" i="9"/>
  <c r="P29" i="9"/>
  <c r="P28" i="9"/>
  <c r="M28" i="9" s="1"/>
  <c r="P27" i="9"/>
  <c r="P26" i="9"/>
  <c r="P25" i="9"/>
  <c r="P24" i="9"/>
  <c r="P23" i="9"/>
  <c r="P22" i="9"/>
  <c r="M22" i="9" s="1"/>
  <c r="P21" i="9"/>
  <c r="M21" i="9" s="1"/>
  <c r="P20" i="9"/>
  <c r="M20" i="9" s="1"/>
  <c r="P19" i="9"/>
  <c r="M19" i="9" s="1"/>
  <c r="P18" i="9"/>
  <c r="M18" i="9" s="1"/>
  <c r="P17" i="9"/>
  <c r="P16" i="9"/>
  <c r="P15" i="9"/>
  <c r="P14" i="9"/>
  <c r="P13" i="9"/>
  <c r="P12" i="9"/>
  <c r="P11" i="9"/>
  <c r="D126" i="6"/>
  <c r="D125" i="6" s="1"/>
  <c r="H33" i="4" s="1"/>
  <c r="H34" i="4" s="1"/>
  <c r="D103" i="6"/>
  <c r="D99" i="6"/>
  <c r="D98" i="6" s="1"/>
  <c r="D95" i="6"/>
  <c r="D65" i="6"/>
  <c r="D62" i="6"/>
  <c r="D61" i="6"/>
  <c r="H15" i="4" s="1"/>
  <c r="D58" i="6"/>
  <c r="D15" i="6"/>
  <c r="D10" i="6"/>
  <c r="H10" i="4" s="1"/>
  <c r="Q54" i="9"/>
  <c r="R161" i="9"/>
  <c r="U161" i="9"/>
  <c r="AA161" i="9"/>
  <c r="W161" i="9"/>
  <c r="Q165" i="9"/>
  <c r="T43" i="5" s="1"/>
  <c r="Q129" i="9"/>
  <c r="T37" i="5" s="1"/>
  <c r="Q107" i="9"/>
  <c r="T34" i="5" s="1"/>
  <c r="Q86" i="9"/>
  <c r="T32" i="5" s="1"/>
  <c r="Q83" i="9"/>
  <c r="T29" i="5" s="1"/>
  <c r="Q78" i="9"/>
  <c r="T31" i="5" s="1"/>
  <c r="Q74" i="9"/>
  <c r="T30" i="5" s="1"/>
  <c r="Q41" i="9"/>
  <c r="Q10" i="9"/>
  <c r="Q9" i="9" s="1"/>
  <c r="Q44" i="9" s="1"/>
  <c r="E10" i="6"/>
  <c r="I10" i="4" s="1"/>
  <c r="L11" i="6"/>
  <c r="M11" i="6"/>
  <c r="N11" i="6"/>
  <c r="O11" i="6"/>
  <c r="I48" i="6"/>
  <c r="H48" i="6" s="1"/>
  <c r="G48" i="6" s="1"/>
  <c r="F48" i="6" s="1"/>
  <c r="E48" i="6" s="1"/>
  <c r="D48" i="6" s="1"/>
  <c r="B48" i="6" s="1"/>
  <c r="I42" i="4"/>
  <c r="I40" i="4"/>
  <c r="U13" i="5"/>
  <c r="S63" i="9"/>
  <c r="P63" i="9" s="1"/>
  <c r="E109" i="6"/>
  <c r="E80" i="6"/>
  <c r="E46" i="6"/>
  <c r="E40" i="6" s="1"/>
  <c r="E126" i="6"/>
  <c r="E125" i="6" s="1"/>
  <c r="I33" i="4" s="1"/>
  <c r="I34" i="4" s="1"/>
  <c r="E103" i="6"/>
  <c r="E99" i="6"/>
  <c r="E95" i="6"/>
  <c r="E93" i="6"/>
  <c r="E65" i="6"/>
  <c r="E62" i="6"/>
  <c r="E58" i="6"/>
  <c r="E15" i="6"/>
  <c r="R165" i="9"/>
  <c r="U43" i="5" s="1"/>
  <c r="R129" i="9"/>
  <c r="U37" i="5" s="1"/>
  <c r="R107" i="9"/>
  <c r="U34" i="5" s="1"/>
  <c r="R86" i="9"/>
  <c r="U32" i="5" s="1"/>
  <c r="R83" i="9"/>
  <c r="U29" i="5" s="1"/>
  <c r="R78" i="9"/>
  <c r="U31" i="5" s="1"/>
  <c r="R74" i="9"/>
  <c r="U30" i="5" s="1"/>
  <c r="R41" i="9"/>
  <c r="U17" i="5" s="1"/>
  <c r="U15" i="5" s="1"/>
  <c r="R10" i="9"/>
  <c r="R9" i="9" s="1"/>
  <c r="M165" i="9" l="1"/>
  <c r="M129" i="9"/>
  <c r="M10" i="9"/>
  <c r="M9" i="9" s="1"/>
  <c r="M44" i="9" s="1"/>
  <c r="N163" i="9"/>
  <c r="L163" i="9" s="1"/>
  <c r="J163" i="9" s="1"/>
  <c r="N31" i="9"/>
  <c r="L31" i="9" s="1"/>
  <c r="J31" i="9" s="1"/>
  <c r="N21" i="9"/>
  <c r="L21" i="9" s="1"/>
  <c r="J21" i="9" s="1"/>
  <c r="N107" i="9"/>
  <c r="B107" i="9"/>
  <c r="N83" i="9"/>
  <c r="B83" i="9"/>
  <c r="N28" i="9"/>
  <c r="L28" i="9" s="1"/>
  <c r="J28" i="9" s="1"/>
  <c r="N18" i="9"/>
  <c r="L18" i="9" s="1"/>
  <c r="J18" i="9" s="1"/>
  <c r="N20" i="9"/>
  <c r="L20" i="9" s="1"/>
  <c r="J20" i="9" s="1"/>
  <c r="N22" i="9"/>
  <c r="L22" i="9" s="1"/>
  <c r="J22" i="9" s="1"/>
  <c r="N74" i="9"/>
  <c r="B74" i="9"/>
  <c r="N78" i="9"/>
  <c r="B78" i="9"/>
  <c r="N130" i="9"/>
  <c r="L130" i="9" s="1"/>
  <c r="J130" i="9" s="1"/>
  <c r="N86" i="9"/>
  <c r="B86" i="9"/>
  <c r="N41" i="9"/>
  <c r="B41" i="9"/>
  <c r="N19" i="9"/>
  <c r="L19" i="9" s="1"/>
  <c r="J19" i="9" s="1"/>
  <c r="N168" i="9"/>
  <c r="K168" i="9" s="1"/>
  <c r="B165" i="9"/>
  <c r="N32" i="9"/>
  <c r="L32" i="9" s="1"/>
  <c r="J32" i="9" s="1"/>
  <c r="N101" i="9"/>
  <c r="L101" i="9" s="1"/>
  <c r="J101" i="9" s="1"/>
  <c r="N35" i="9"/>
  <c r="L35" i="9" s="1"/>
  <c r="J35" i="9" s="1"/>
  <c r="N116" i="9"/>
  <c r="L116" i="9" s="1"/>
  <c r="J116" i="9" s="1"/>
  <c r="N123" i="9"/>
  <c r="L123" i="9" s="1"/>
  <c r="J123" i="9" s="1"/>
  <c r="N37" i="9"/>
  <c r="L37" i="9" s="1"/>
  <c r="J37" i="9" s="1"/>
  <c r="N131" i="9"/>
  <c r="L131" i="9" s="1"/>
  <c r="J131" i="9" s="1"/>
  <c r="E47" i="18"/>
  <c r="D47" i="18"/>
  <c r="H27" i="4"/>
  <c r="E78" i="18"/>
  <c r="D35" i="18"/>
  <c r="D78" i="18"/>
  <c r="E35" i="18"/>
  <c r="E17" i="18"/>
  <c r="D17" i="18"/>
  <c r="E55" i="18"/>
  <c r="D55" i="18"/>
  <c r="E98" i="6"/>
  <c r="I27" i="4" s="1"/>
  <c r="E16" i="18"/>
  <c r="D16" i="18"/>
  <c r="D21" i="18" s="1"/>
  <c r="T12" i="5"/>
  <c r="D79" i="6"/>
  <c r="E79" i="6"/>
  <c r="I26" i="4" s="1"/>
  <c r="E61" i="6"/>
  <c r="I15" i="4" s="1"/>
  <c r="U12" i="5"/>
  <c r="R44" i="9"/>
  <c r="J42" i="4"/>
  <c r="J40" i="4"/>
  <c r="V13" i="5"/>
  <c r="S162" i="9"/>
  <c r="P162" i="9" s="1"/>
  <c r="F80" i="6"/>
  <c r="F79" i="6" s="1"/>
  <c r="J26" i="4" s="1"/>
  <c r="F53" i="6"/>
  <c r="E53" i="6" s="1"/>
  <c r="D53" i="6" s="1"/>
  <c r="B53" i="6" s="1"/>
  <c r="F40" i="6"/>
  <c r="F126" i="6"/>
  <c r="F125" i="6" s="1"/>
  <c r="J33" i="4" s="1"/>
  <c r="J34" i="4" s="1"/>
  <c r="F103" i="6"/>
  <c r="F99" i="6"/>
  <c r="F98" i="6" s="1"/>
  <c r="J27" i="4" s="1"/>
  <c r="F95" i="6"/>
  <c r="F93" i="6"/>
  <c r="F65" i="6"/>
  <c r="F62" i="6"/>
  <c r="F61" i="6" s="1"/>
  <c r="J15" i="4" s="1"/>
  <c r="F58" i="6"/>
  <c r="F15" i="6"/>
  <c r="F10" i="6"/>
  <c r="J10" i="4" s="1"/>
  <c r="S54" i="9"/>
  <c r="P54" i="9" s="1"/>
  <c r="S165" i="9"/>
  <c r="V43" i="5" s="1"/>
  <c r="S129" i="9"/>
  <c r="V37" i="5" s="1"/>
  <c r="S107" i="9"/>
  <c r="V34" i="5" s="1"/>
  <c r="S86" i="9"/>
  <c r="V32" i="5" s="1"/>
  <c r="S83" i="9"/>
  <c r="V29" i="5" s="1"/>
  <c r="S78" i="9"/>
  <c r="V31" i="5" s="1"/>
  <c r="S74" i="9"/>
  <c r="V30" i="5" s="1"/>
  <c r="S41" i="9"/>
  <c r="V17" i="5" s="1"/>
  <c r="S10" i="9"/>
  <c r="S9" i="9" s="1"/>
  <c r="K18" i="9" l="1"/>
  <c r="I18" i="9" s="1"/>
  <c r="G18" i="9" s="1"/>
  <c r="K165" i="9"/>
  <c r="K31" i="9"/>
  <c r="I31" i="9" s="1"/>
  <c r="G31" i="9" s="1"/>
  <c r="J129" i="9"/>
  <c r="J10" i="9"/>
  <c r="J9" i="9" s="1"/>
  <c r="J44" i="9" s="1"/>
  <c r="K116" i="9"/>
  <c r="I116" i="9" s="1"/>
  <c r="G116" i="9" s="1"/>
  <c r="K37" i="9"/>
  <c r="I37" i="9" s="1"/>
  <c r="G37" i="9" s="1"/>
  <c r="K32" i="9"/>
  <c r="I32" i="9" s="1"/>
  <c r="G32" i="9" s="1"/>
  <c r="K35" i="9"/>
  <c r="I35" i="9" s="1"/>
  <c r="G35" i="9" s="1"/>
  <c r="K21" i="9"/>
  <c r="I21" i="9" s="1"/>
  <c r="G21" i="9" s="1"/>
  <c r="K163" i="9"/>
  <c r="I163" i="9" s="1"/>
  <c r="G163" i="9" s="1"/>
  <c r="K131" i="9"/>
  <c r="I131" i="9" s="1"/>
  <c r="G131" i="9" s="1"/>
  <c r="K123" i="9"/>
  <c r="I123" i="9" s="1"/>
  <c r="G123" i="9" s="1"/>
  <c r="K22" i="9"/>
  <c r="I22" i="9" s="1"/>
  <c r="G22" i="9" s="1"/>
  <c r="K20" i="9"/>
  <c r="I20" i="9" s="1"/>
  <c r="G20" i="9" s="1"/>
  <c r="K28" i="9"/>
  <c r="I28" i="9" s="1"/>
  <c r="G28" i="9" s="1"/>
  <c r="K130" i="9"/>
  <c r="I130" i="9" s="1"/>
  <c r="K19" i="9"/>
  <c r="I19" i="9" s="1"/>
  <c r="G19" i="9" s="1"/>
  <c r="K101" i="9"/>
  <c r="I101" i="9" s="1"/>
  <c r="G101" i="9" s="1"/>
  <c r="N165" i="9"/>
  <c r="L168" i="9"/>
  <c r="I168" i="9" s="1"/>
  <c r="L10" i="9"/>
  <c r="L9" i="9" s="1"/>
  <c r="L44" i="9" s="1"/>
  <c r="L129" i="9"/>
  <c r="N129" i="9"/>
  <c r="B129" i="9"/>
  <c r="S44" i="9"/>
  <c r="E21" i="18"/>
  <c r="E39" i="18"/>
  <c r="D39" i="18"/>
  <c r="T10" i="5"/>
  <c r="T20" i="5" s="1"/>
  <c r="H26" i="4"/>
  <c r="D46" i="18"/>
  <c r="E46" i="18"/>
  <c r="V15" i="5"/>
  <c r="U10" i="5"/>
  <c r="U20" i="5" s="1"/>
  <c r="V12" i="5"/>
  <c r="V10" i="5" s="1"/>
  <c r="J40" i="6"/>
  <c r="I40" i="6"/>
  <c r="H40" i="6"/>
  <c r="G15" i="6"/>
  <c r="K40" i="6"/>
  <c r="V161" i="9"/>
  <c r="P161" i="9" s="1"/>
  <c r="AD99" i="6"/>
  <c r="AQ99" i="6"/>
  <c r="K42" i="4"/>
  <c r="K40" i="4"/>
  <c r="W13" i="5"/>
  <c r="G109" i="6"/>
  <c r="G93" i="6"/>
  <c r="G126" i="6"/>
  <c r="G125" i="6"/>
  <c r="K33" i="4" s="1"/>
  <c r="K34" i="4" s="1"/>
  <c r="G103" i="6"/>
  <c r="G99" i="6"/>
  <c r="G95" i="6"/>
  <c r="G65" i="6"/>
  <c r="G62" i="6"/>
  <c r="G58" i="6"/>
  <c r="G40" i="6"/>
  <c r="G10" i="6"/>
  <c r="K10" i="4" s="1"/>
  <c r="T34" i="9"/>
  <c r="P34" i="9" s="1"/>
  <c r="B10" i="9" s="1"/>
  <c r="B9" i="9" s="1"/>
  <c r="B44" i="9" s="1"/>
  <c r="G98" i="6" l="1"/>
  <c r="K27" i="4" s="1"/>
  <c r="H18" i="9"/>
  <c r="F18" i="9" s="1"/>
  <c r="D18" i="9" s="1"/>
  <c r="G10" i="9"/>
  <c r="G9" i="9" s="1"/>
  <c r="G44" i="9" s="1"/>
  <c r="H22" i="9"/>
  <c r="F22" i="9" s="1"/>
  <c r="D22" i="9" s="1"/>
  <c r="I165" i="9"/>
  <c r="G168" i="9"/>
  <c r="H35" i="9"/>
  <c r="F35" i="9" s="1"/>
  <c r="D35" i="9" s="1"/>
  <c r="I129" i="9"/>
  <c r="G130" i="9"/>
  <c r="H123" i="9"/>
  <c r="F123" i="9" s="1"/>
  <c r="D123" i="9" s="1"/>
  <c r="H163" i="9"/>
  <c r="F163" i="9" s="1"/>
  <c r="D163" i="9" s="1"/>
  <c r="H101" i="9"/>
  <c r="F101" i="9" s="1"/>
  <c r="D101" i="9" s="1"/>
  <c r="H116" i="9"/>
  <c r="F116" i="9" s="1"/>
  <c r="D116" i="9" s="1"/>
  <c r="H31" i="9"/>
  <c r="F31" i="9" s="1"/>
  <c r="D31" i="9" s="1"/>
  <c r="H32" i="9"/>
  <c r="F32" i="9" s="1"/>
  <c r="D32" i="9" s="1"/>
  <c r="H130" i="9"/>
  <c r="F130" i="9" s="1"/>
  <c r="H37" i="9"/>
  <c r="F37" i="9" s="1"/>
  <c r="D37" i="9" s="1"/>
  <c r="H131" i="9"/>
  <c r="F131" i="9" s="1"/>
  <c r="D131" i="9" s="1"/>
  <c r="H20" i="9"/>
  <c r="F20" i="9" s="1"/>
  <c r="D20" i="9" s="1"/>
  <c r="H19" i="9"/>
  <c r="F19" i="9" s="1"/>
  <c r="D19" i="9" s="1"/>
  <c r="H28" i="9"/>
  <c r="F28" i="9" s="1"/>
  <c r="D28" i="9" s="1"/>
  <c r="H21" i="9"/>
  <c r="F21" i="9" s="1"/>
  <c r="D21" i="9" s="1"/>
  <c r="V20" i="5"/>
  <c r="V23" i="5" s="1"/>
  <c r="I10" i="9"/>
  <c r="I9" i="9" s="1"/>
  <c r="I44" i="9" s="1"/>
  <c r="L165" i="9"/>
  <c r="J168" i="9"/>
  <c r="K10" i="9"/>
  <c r="K9" i="9" s="1"/>
  <c r="K44" i="9" s="1"/>
  <c r="K129" i="9"/>
  <c r="N10" i="9"/>
  <c r="P10" i="9"/>
  <c r="T23" i="5"/>
  <c r="G61" i="6"/>
  <c r="K15" i="4" s="1"/>
  <c r="U23" i="5"/>
  <c r="N9" i="9" l="1"/>
  <c r="N44" i="9" s="1"/>
  <c r="Q12" i="5"/>
  <c r="E12" i="5" s="1"/>
  <c r="D130" i="9"/>
  <c r="E163" i="9"/>
  <c r="C163" i="9" s="1"/>
  <c r="E20" i="9"/>
  <c r="C20" i="9" s="1"/>
  <c r="D129" i="9"/>
  <c r="E32" i="9"/>
  <c r="C32" i="9" s="1"/>
  <c r="E22" i="9"/>
  <c r="C22" i="9" s="1"/>
  <c r="E116" i="9"/>
  <c r="C116" i="9" s="1"/>
  <c r="E101" i="9"/>
  <c r="C101" i="9" s="1"/>
  <c r="D10" i="9"/>
  <c r="D9" i="9" s="1"/>
  <c r="D44" i="9" s="1"/>
  <c r="E31" i="9"/>
  <c r="C31" i="9" s="1"/>
  <c r="G129" i="9"/>
  <c r="E130" i="9"/>
  <c r="C130" i="9" s="1"/>
  <c r="C129" i="9" s="1"/>
  <c r="E28" i="9"/>
  <c r="C28" i="9" s="1"/>
  <c r="E123" i="9"/>
  <c r="C123" i="9" s="1"/>
  <c r="E35" i="9"/>
  <c r="C35" i="9" s="1"/>
  <c r="G165" i="9"/>
  <c r="E168" i="9"/>
  <c r="E21" i="9"/>
  <c r="C21" i="9" s="1"/>
  <c r="E18" i="9"/>
  <c r="C18" i="9" s="1"/>
  <c r="E37" i="9"/>
  <c r="C37" i="9" s="1"/>
  <c r="E19" i="9"/>
  <c r="C19" i="9" s="1"/>
  <c r="E131" i="9"/>
  <c r="C131" i="9" s="1"/>
  <c r="F129" i="9"/>
  <c r="F10" i="9"/>
  <c r="F9" i="9" s="1"/>
  <c r="F44" i="9" s="1"/>
  <c r="H10" i="9"/>
  <c r="H9" i="9" s="1"/>
  <c r="H44" i="9" s="1"/>
  <c r="H129" i="9"/>
  <c r="J165" i="9"/>
  <c r="H168" i="9"/>
  <c r="T165" i="9"/>
  <c r="W43" i="5" s="1"/>
  <c r="T129" i="9"/>
  <c r="W37" i="5" s="1"/>
  <c r="T107" i="9"/>
  <c r="W34" i="5" s="1"/>
  <c r="T86" i="9"/>
  <c r="W32" i="5" s="1"/>
  <c r="T83" i="9"/>
  <c r="W29" i="5" s="1"/>
  <c r="T78" i="9"/>
  <c r="W31" i="5" s="1"/>
  <c r="T74" i="9"/>
  <c r="W30" i="5" s="1"/>
  <c r="T41" i="9"/>
  <c r="W17" i="5" s="1"/>
  <c r="T10" i="9"/>
  <c r="C10" i="9" l="1"/>
  <c r="C9" i="9" s="1"/>
  <c r="C44" i="9" s="1"/>
  <c r="E165" i="9"/>
  <c r="E10" i="9"/>
  <c r="E9" i="9" s="1"/>
  <c r="E44" i="9" s="1"/>
  <c r="E129" i="9"/>
  <c r="H165" i="9"/>
  <c r="F168" i="9"/>
  <c r="C168" i="9" s="1"/>
  <c r="C165" i="9" s="1"/>
  <c r="T9" i="9"/>
  <c r="T44" i="9" s="1"/>
  <c r="W12" i="5"/>
  <c r="W15" i="5"/>
  <c r="W160" i="9"/>
  <c r="P160" i="9" s="1"/>
  <c r="F165" i="9" l="1"/>
  <c r="D168" i="9"/>
  <c r="D165" i="9" s="1"/>
  <c r="W10" i="5"/>
  <c r="W20" i="5" s="1"/>
  <c r="M53" i="6"/>
  <c r="L53" i="6" s="1"/>
  <c r="W23" i="5" l="1"/>
  <c r="H17" i="6"/>
  <c r="I17" i="6"/>
  <c r="J17" i="6"/>
  <c r="L42" i="4"/>
  <c r="L40" i="4"/>
  <c r="X13" i="5"/>
  <c r="H122" i="6"/>
  <c r="G122" i="6" s="1"/>
  <c r="F122" i="6" s="1"/>
  <c r="E122" i="6" s="1"/>
  <c r="H123" i="6"/>
  <c r="G123" i="6" s="1"/>
  <c r="F123" i="6" s="1"/>
  <c r="E123" i="6" s="1"/>
  <c r="D123" i="6" s="1"/>
  <c r="H121" i="6"/>
  <c r="G121" i="6" s="1"/>
  <c r="F121" i="6" s="1"/>
  <c r="E121" i="6" s="1"/>
  <c r="D121" i="6" s="1"/>
  <c r="H120" i="6"/>
  <c r="G120" i="6" s="1"/>
  <c r="F120" i="6" l="1"/>
  <c r="G118" i="6"/>
  <c r="K29" i="4" s="1"/>
  <c r="H126" i="6"/>
  <c r="H125" i="6"/>
  <c r="L33" i="4" s="1"/>
  <c r="L34" i="4" s="1"/>
  <c r="H118" i="6"/>
  <c r="L29" i="4" s="1"/>
  <c r="H103" i="6"/>
  <c r="H99" i="6"/>
  <c r="H95" i="6"/>
  <c r="H65" i="6"/>
  <c r="H62" i="6"/>
  <c r="H58" i="6"/>
  <c r="H15" i="6"/>
  <c r="H10" i="6"/>
  <c r="L10" i="4" s="1"/>
  <c r="H61" i="6" l="1"/>
  <c r="L15" i="4" s="1"/>
  <c r="E120" i="6"/>
  <c r="D120" i="6" s="1"/>
  <c r="B118" i="6" s="1"/>
  <c r="F118" i="6"/>
  <c r="J29" i="4" s="1"/>
  <c r="H98" i="6"/>
  <c r="L27" i="4" s="1"/>
  <c r="E118" i="6" l="1"/>
  <c r="I29" i="4" s="1"/>
  <c r="D118" i="6"/>
  <c r="U165" i="9"/>
  <c r="U129" i="9"/>
  <c r="X37" i="5" s="1"/>
  <c r="U107" i="9"/>
  <c r="X34" i="5" s="1"/>
  <c r="U86" i="9"/>
  <c r="X32" i="5" s="1"/>
  <c r="U83" i="9"/>
  <c r="X29" i="5" s="1"/>
  <c r="U78" i="9"/>
  <c r="X31" i="5" s="1"/>
  <c r="U74" i="9"/>
  <c r="X30" i="5" s="1"/>
  <c r="U41" i="9"/>
  <c r="X17" i="5" s="1"/>
  <c r="U10" i="9"/>
  <c r="E54" i="18" l="1"/>
  <c r="D54" i="18"/>
  <c r="H29" i="4"/>
  <c r="E36" i="18"/>
  <c r="D36" i="18"/>
  <c r="E79" i="18"/>
  <c r="D79" i="18"/>
  <c r="X43" i="5"/>
  <c r="U9" i="9"/>
  <c r="U44" i="9" s="1"/>
  <c r="X12" i="5"/>
  <c r="X15" i="5"/>
  <c r="M42" i="4"/>
  <c r="M40" i="4"/>
  <c r="Y13" i="5"/>
  <c r="I126" i="6"/>
  <c r="I125" i="6" s="1"/>
  <c r="M33" i="4" s="1"/>
  <c r="M34" i="4" s="1"/>
  <c r="I114" i="6"/>
  <c r="H114" i="6" s="1"/>
  <c r="G114" i="6" s="1"/>
  <c r="F114" i="6" s="1"/>
  <c r="E114" i="6" s="1"/>
  <c r="D114" i="6" s="1"/>
  <c r="I113" i="6"/>
  <c r="H113" i="6" s="1"/>
  <c r="G113" i="6" s="1"/>
  <c r="F113" i="6" s="1"/>
  <c r="E113" i="6" s="1"/>
  <c r="D113" i="6" s="1"/>
  <c r="I80" i="6"/>
  <c r="I10" i="6"/>
  <c r="I118" i="6"/>
  <c r="M29" i="4" s="1"/>
  <c r="I103" i="6"/>
  <c r="I99" i="6"/>
  <c r="I95" i="6"/>
  <c r="I65" i="6"/>
  <c r="I62" i="6"/>
  <c r="I58" i="6"/>
  <c r="I15" i="6"/>
  <c r="I61" i="6" l="1"/>
  <c r="M15" i="4" s="1"/>
  <c r="I98" i="6"/>
  <c r="M27" i="4" s="1"/>
  <c r="X10" i="5"/>
  <c r="X20" i="5" s="1"/>
  <c r="M10" i="4"/>
  <c r="X23" i="5" l="1"/>
  <c r="V165" i="9"/>
  <c r="Y43" i="5" s="1"/>
  <c r="V129" i="9"/>
  <c r="Y37" i="5" s="1"/>
  <c r="V107" i="9"/>
  <c r="Y34" i="5" s="1"/>
  <c r="V86" i="9"/>
  <c r="Y32" i="5" s="1"/>
  <c r="V83" i="9"/>
  <c r="Y29" i="5" s="1"/>
  <c r="V78" i="9"/>
  <c r="Y31" i="5" s="1"/>
  <c r="V74" i="9"/>
  <c r="Y30" i="5" s="1"/>
  <c r="V41" i="9"/>
  <c r="Y17" i="5" s="1"/>
  <c r="V10" i="9"/>
  <c r="W56" i="9"/>
  <c r="P56" i="9" s="1"/>
  <c r="J123" i="6"/>
  <c r="V9" i="9" l="1"/>
  <c r="Y12" i="5"/>
  <c r="V44" i="9"/>
  <c r="Y15" i="5"/>
  <c r="X57" i="9"/>
  <c r="P57" i="9" s="1"/>
  <c r="J80" i="6"/>
  <c r="N42" i="4"/>
  <c r="N40" i="4"/>
  <c r="Z13" i="5"/>
  <c r="J120" i="6"/>
  <c r="J118" i="6" s="1"/>
  <c r="N29" i="4" s="1"/>
  <c r="J113" i="6"/>
  <c r="J114" i="6"/>
  <c r="J92" i="6"/>
  <c r="J83" i="6"/>
  <c r="I83" i="6" s="1"/>
  <c r="J125" i="6"/>
  <c r="N33" i="4" s="1"/>
  <c r="N34" i="4" s="1"/>
  <c r="J103" i="6"/>
  <c r="J99" i="6"/>
  <c r="J95" i="6"/>
  <c r="J93" i="6"/>
  <c r="J65" i="6"/>
  <c r="J62" i="6"/>
  <c r="J58" i="6"/>
  <c r="J15" i="6"/>
  <c r="J10" i="6"/>
  <c r="N10" i="4" s="1"/>
  <c r="J79" i="6" l="1"/>
  <c r="N26" i="4" s="1"/>
  <c r="J61" i="6"/>
  <c r="N15" i="4" s="1"/>
  <c r="Y10" i="5"/>
  <c r="Y20" i="5" s="1"/>
  <c r="Y23" i="5" s="1"/>
  <c r="J98" i="6"/>
  <c r="N27" i="4" s="1"/>
  <c r="H83" i="6"/>
  <c r="I79" i="6"/>
  <c r="M26" i="4" s="1"/>
  <c r="W165" i="9"/>
  <c r="Z43" i="5" s="1"/>
  <c r="W129" i="9"/>
  <c r="Z37" i="5" s="1"/>
  <c r="W107" i="9"/>
  <c r="Z34" i="5" s="1"/>
  <c r="W86" i="9"/>
  <c r="Z32" i="5" s="1"/>
  <c r="W83" i="9"/>
  <c r="Z29" i="5" s="1"/>
  <c r="W78" i="9"/>
  <c r="Z31" i="5" s="1"/>
  <c r="W74" i="9"/>
  <c r="Z30" i="5" s="1"/>
  <c r="W41" i="9"/>
  <c r="Z17" i="5" s="1"/>
  <c r="W10" i="9"/>
  <c r="W9" i="9" l="1"/>
  <c r="W44" i="9" s="1"/>
  <c r="Z12" i="5"/>
  <c r="Z10" i="5" s="1"/>
  <c r="H79" i="6"/>
  <c r="L26" i="4" s="1"/>
  <c r="G83" i="6"/>
  <c r="G79" i="6" s="1"/>
  <c r="K26" i="4" s="1"/>
  <c r="Z15" i="5"/>
  <c r="Z20" i="5" l="1"/>
  <c r="Z23" i="5" s="1"/>
  <c r="K104" i="6"/>
  <c r="K10" i="6" l="1"/>
  <c r="O10" i="4" s="1"/>
  <c r="O42" i="4"/>
  <c r="O40" i="4"/>
  <c r="AA13" i="5"/>
  <c r="K80" i="6"/>
  <c r="K125" i="6"/>
  <c r="O33" i="4" s="1"/>
  <c r="O34" i="4" s="1"/>
  <c r="K118" i="6"/>
  <c r="O29" i="4" s="1"/>
  <c r="K103" i="6"/>
  <c r="K99" i="6"/>
  <c r="K95" i="6"/>
  <c r="K93" i="6"/>
  <c r="K65" i="6"/>
  <c r="K62" i="6"/>
  <c r="K58" i="6"/>
  <c r="K15" i="6"/>
  <c r="K61" i="6" l="1"/>
  <c r="O15" i="4" s="1"/>
  <c r="K79" i="6"/>
  <c r="O26" i="4" s="1"/>
  <c r="K98" i="6"/>
  <c r="O27" i="4" s="1"/>
  <c r="P42" i="4"/>
  <c r="P40" i="4"/>
  <c r="AB13" i="5"/>
  <c r="L80" i="6"/>
  <c r="L125" i="6" l="1"/>
  <c r="P33" i="4" s="1"/>
  <c r="P34" i="4" s="1"/>
  <c r="L118" i="6"/>
  <c r="P29" i="4" s="1"/>
  <c r="L103" i="6"/>
  <c r="L99" i="6"/>
  <c r="L95" i="6"/>
  <c r="L93" i="6"/>
  <c r="L79" i="6"/>
  <c r="P26" i="4" s="1"/>
  <c r="L65" i="6"/>
  <c r="L62" i="6"/>
  <c r="L58" i="6"/>
  <c r="L40" i="6"/>
  <c r="L15" i="6"/>
  <c r="L10" i="6"/>
  <c r="P10" i="4" s="1"/>
  <c r="X165" i="9"/>
  <c r="AA43" i="5" s="1"/>
  <c r="X129" i="9"/>
  <c r="AA37" i="5" s="1"/>
  <c r="X107" i="9"/>
  <c r="AA34" i="5" s="1"/>
  <c r="X86" i="9"/>
  <c r="AA32" i="5" s="1"/>
  <c r="X83" i="9"/>
  <c r="AA29" i="5" s="1"/>
  <c r="X78" i="9"/>
  <c r="AA31" i="5" s="1"/>
  <c r="X74" i="9"/>
  <c r="AA30" i="5" s="1"/>
  <c r="X41" i="9"/>
  <c r="AA17" i="5" s="1"/>
  <c r="X10" i="9"/>
  <c r="Y165" i="9"/>
  <c r="AB43" i="5" s="1"/>
  <c r="Y129" i="9"/>
  <c r="AB37" i="5" s="1"/>
  <c r="Y107" i="9"/>
  <c r="AB34" i="5" s="1"/>
  <c r="Y86" i="9"/>
  <c r="AB32" i="5" s="1"/>
  <c r="Y83" i="9"/>
  <c r="AB29" i="5" s="1"/>
  <c r="Y78" i="9"/>
  <c r="AB31" i="5" s="1"/>
  <c r="Y74" i="9"/>
  <c r="AB30" i="5" s="1"/>
  <c r="Y41" i="9"/>
  <c r="AB17" i="5" s="1"/>
  <c r="Y10" i="9"/>
  <c r="L61" i="6" l="1"/>
  <c r="P15" i="4" s="1"/>
  <c r="L98" i="6"/>
  <c r="P27" i="4" s="1"/>
  <c r="AA15" i="5"/>
  <c r="X9" i="9"/>
  <c r="X44" i="9" s="1"/>
  <c r="AA12" i="5"/>
  <c r="Y9" i="9"/>
  <c r="Y44" i="9" s="1"/>
  <c r="AB12" i="5"/>
  <c r="AB15" i="5"/>
  <c r="Q42" i="4"/>
  <c r="Q40" i="4"/>
  <c r="AC13" i="5"/>
  <c r="M80" i="6"/>
  <c r="M93" i="6"/>
  <c r="M24" i="6"/>
  <c r="M30" i="6"/>
  <c r="M125" i="6"/>
  <c r="Q33" i="4" s="1"/>
  <c r="Q34" i="4" s="1"/>
  <c r="M118" i="6"/>
  <c r="Q29" i="4" s="1"/>
  <c r="M103" i="6"/>
  <c r="M99" i="6"/>
  <c r="M98" i="6" s="1"/>
  <c r="Q27" i="4" s="1"/>
  <c r="M95" i="6"/>
  <c r="M65" i="6"/>
  <c r="M62" i="6"/>
  <c r="M61" i="6" s="1"/>
  <c r="Q15" i="4" s="1"/>
  <c r="M58" i="6"/>
  <c r="K53" i="6"/>
  <c r="M40" i="6"/>
  <c r="M10" i="6"/>
  <c r="Q10" i="4" s="1"/>
  <c r="M79" i="6" l="1"/>
  <c r="Q26" i="4" s="1"/>
  <c r="J53" i="6"/>
  <c r="AA10" i="5"/>
  <c r="AA20" i="5" s="1"/>
  <c r="AA23" i="5" s="1"/>
  <c r="AB10" i="5"/>
  <c r="AB20" i="5" s="1"/>
  <c r="AB23" i="5" s="1"/>
  <c r="M15" i="6"/>
  <c r="I53" i="6" l="1"/>
  <c r="Z165" i="9"/>
  <c r="AC43" i="5" s="1"/>
  <c r="Z157" i="9"/>
  <c r="Z156" i="9"/>
  <c r="AC42" i="5" s="1"/>
  <c r="Z129" i="9"/>
  <c r="AC37" i="5" s="1"/>
  <c r="Z109" i="9"/>
  <c r="Z107" i="9"/>
  <c r="AC34" i="5" s="1"/>
  <c r="Z93" i="9"/>
  <c r="Z86" i="9"/>
  <c r="AC32" i="5" s="1"/>
  <c r="Z83" i="9"/>
  <c r="AC29" i="5" s="1"/>
  <c r="Z78" i="9"/>
  <c r="AC31" i="5" s="1"/>
  <c r="Z74" i="9"/>
  <c r="AC30" i="5" s="1"/>
  <c r="Z66" i="9"/>
  <c r="Z65" i="9"/>
  <c r="Z41" i="9"/>
  <c r="AC17" i="5" s="1"/>
  <c r="Z10" i="9"/>
  <c r="H53" i="6" l="1"/>
  <c r="Z9" i="9"/>
  <c r="Z44" i="9" s="1"/>
  <c r="AC12" i="5"/>
  <c r="AC15" i="5"/>
  <c r="Z171" i="9"/>
  <c r="AC40" i="5"/>
  <c r="O70" i="6"/>
  <c r="N70" i="6" s="1"/>
  <c r="O69" i="6"/>
  <c r="AB69" i="6"/>
  <c r="R69" i="6"/>
  <c r="S69" i="6"/>
  <c r="T69" i="6"/>
  <c r="U69" i="6"/>
  <c r="V69" i="6"/>
  <c r="W69" i="6"/>
  <c r="X69" i="6"/>
  <c r="Y69" i="6"/>
  <c r="Z69" i="6"/>
  <c r="AA69" i="6"/>
  <c r="Q69" i="6"/>
  <c r="F41" i="18" s="1"/>
  <c r="M70" i="6" l="1"/>
  <c r="L70" i="6" s="1"/>
  <c r="N69" i="6"/>
  <c r="R16" i="4" s="1"/>
  <c r="M69" i="6"/>
  <c r="Q16" i="4" s="1"/>
  <c r="Q17" i="4" s="1"/>
  <c r="AC10" i="5"/>
  <c r="AC20" i="5" s="1"/>
  <c r="AC23" i="5" s="1"/>
  <c r="R42" i="4"/>
  <c r="R40" i="4"/>
  <c r="AD46" i="5"/>
  <c r="AD18" i="5"/>
  <c r="AD13" i="5"/>
  <c r="N114" i="6"/>
  <c r="M114" i="6" s="1"/>
  <c r="L114" i="6" s="1"/>
  <c r="N113" i="6"/>
  <c r="M113" i="6" s="1"/>
  <c r="L113" i="6" s="1"/>
  <c r="N40" i="6"/>
  <c r="N125" i="6"/>
  <c r="R33" i="4" s="1"/>
  <c r="R34" i="4" s="1"/>
  <c r="N118" i="6"/>
  <c r="R29" i="4" s="1"/>
  <c r="N103" i="6"/>
  <c r="N99" i="6"/>
  <c r="N95" i="6"/>
  <c r="N79" i="6"/>
  <c r="R26" i="4" s="1"/>
  <c r="N58" i="6"/>
  <c r="N15" i="6"/>
  <c r="P165" i="9"/>
  <c r="P83" i="9"/>
  <c r="P78" i="9"/>
  <c r="P41" i="9"/>
  <c r="P157" i="9"/>
  <c r="P129" i="9"/>
  <c r="P109" i="9"/>
  <c r="P107" i="9"/>
  <c r="P86" i="9"/>
  <c r="P74" i="9"/>
  <c r="P66" i="9"/>
  <c r="P65" i="9"/>
  <c r="AA165" i="9"/>
  <c r="AD43" i="5" s="1"/>
  <c r="AA157" i="9"/>
  <c r="AA129" i="9"/>
  <c r="AD37" i="5" s="1"/>
  <c r="AA109" i="9"/>
  <c r="AA107" i="9"/>
  <c r="AD34" i="5" s="1"/>
  <c r="AA93" i="9"/>
  <c r="AA86" i="9"/>
  <c r="AD32" i="5" s="1"/>
  <c r="AA83" i="9"/>
  <c r="AD29" i="5" s="1"/>
  <c r="AA78" i="9"/>
  <c r="AD31" i="5" s="1"/>
  <c r="AA74" i="9"/>
  <c r="AD30" i="5" s="1"/>
  <c r="AA66" i="9"/>
  <c r="AA65" i="9"/>
  <c r="AA41" i="9"/>
  <c r="AD17" i="5" s="1"/>
  <c r="AA10" i="9"/>
  <c r="AA9" i="9" s="1"/>
  <c r="AA156" i="9" l="1"/>
  <c r="AD42" i="5" s="1"/>
  <c r="AD40" i="5" s="1"/>
  <c r="K70" i="6"/>
  <c r="L69" i="6"/>
  <c r="P16" i="4" s="1"/>
  <c r="P17" i="4" s="1"/>
  <c r="AA44" i="9"/>
  <c r="AD15" i="5"/>
  <c r="AD12" i="5"/>
  <c r="N98" i="6"/>
  <c r="R27" i="4" s="1"/>
  <c r="P156" i="9"/>
  <c r="P171" i="9" s="1"/>
  <c r="P9" i="9"/>
  <c r="P44" i="9" s="1"/>
  <c r="E13" i="17"/>
  <c r="S42" i="4"/>
  <c r="S40" i="4"/>
  <c r="BI40" i="5"/>
  <c r="AE46" i="5"/>
  <c r="AE18" i="5"/>
  <c r="AE13" i="5"/>
  <c r="S13" i="5" s="1"/>
  <c r="O123" i="6"/>
  <c r="O122" i="6"/>
  <c r="O121" i="6"/>
  <c r="O120" i="6"/>
  <c r="AA171" i="9" l="1"/>
  <c r="J70" i="6"/>
  <c r="K69" i="6"/>
  <c r="O16" i="4" s="1"/>
  <c r="O17" i="4" s="1"/>
  <c r="AD10" i="5"/>
  <c r="AD20" i="5" s="1"/>
  <c r="AD23" i="5" s="1"/>
  <c r="N10" i="6"/>
  <c r="R10" i="4" s="1"/>
  <c r="O125" i="6"/>
  <c r="S33" i="4" s="1"/>
  <c r="S34" i="4" s="1"/>
  <c r="O118" i="6"/>
  <c r="S29" i="4" s="1"/>
  <c r="O103" i="6"/>
  <c r="O99" i="6"/>
  <c r="O95" i="6"/>
  <c r="O79" i="6"/>
  <c r="S26" i="4" s="1"/>
  <c r="S16" i="4"/>
  <c r="O58" i="6"/>
  <c r="O15" i="6"/>
  <c r="O10" i="6"/>
  <c r="S10" i="4" s="1"/>
  <c r="AB86" i="9"/>
  <c r="AE32" i="5" s="1"/>
  <c r="S32" i="5" s="1"/>
  <c r="AB41" i="9"/>
  <c r="AE17" i="5" s="1"/>
  <c r="S17" i="5" s="1"/>
  <c r="AB107" i="9"/>
  <c r="AE34" i="5" s="1"/>
  <c r="S34" i="5" s="1"/>
  <c r="AB165" i="9"/>
  <c r="AE43" i="5" s="1"/>
  <c r="S43" i="5" s="1"/>
  <c r="P43" i="5" s="1"/>
  <c r="AB157" i="9"/>
  <c r="AB129" i="9"/>
  <c r="AE37" i="5" s="1"/>
  <c r="S37" i="5" s="1"/>
  <c r="AB109" i="9"/>
  <c r="AB93" i="9"/>
  <c r="AB83" i="9"/>
  <c r="AE29" i="5" s="1"/>
  <c r="S29" i="5" s="1"/>
  <c r="AB78" i="9"/>
  <c r="AE31" i="5" s="1"/>
  <c r="S31" i="5" s="1"/>
  <c r="AB74" i="9"/>
  <c r="AE30" i="5" s="1"/>
  <c r="S30" i="5" s="1"/>
  <c r="AB66" i="9"/>
  <c r="AB65" i="9"/>
  <c r="AB10" i="9"/>
  <c r="P40" i="5" l="1"/>
  <c r="P45" i="5" s="1"/>
  <c r="P47" i="5" s="1"/>
  <c r="P51" i="5" s="1"/>
  <c r="Q15" i="5"/>
  <c r="E15" i="5"/>
  <c r="Q43" i="5"/>
  <c r="O43" i="5" s="1"/>
  <c r="E43" i="5"/>
  <c r="I70" i="6"/>
  <c r="J69" i="6"/>
  <c r="N16" i="4" s="1"/>
  <c r="N17" i="4" s="1"/>
  <c r="AE15" i="5"/>
  <c r="S15" i="5"/>
  <c r="AB9" i="9"/>
  <c r="AE12" i="5"/>
  <c r="S12" i="5" s="1"/>
  <c r="O98" i="6"/>
  <c r="S27" i="4" s="1"/>
  <c r="R11" i="6"/>
  <c r="S11" i="6"/>
  <c r="T11" i="6"/>
  <c r="U11" i="6"/>
  <c r="V11" i="6"/>
  <c r="W11" i="6"/>
  <c r="AK63" i="9"/>
  <c r="AE63" i="9"/>
  <c r="AF63" i="9"/>
  <c r="AG63" i="9"/>
  <c r="O40" i="5" l="1"/>
  <c r="O45" i="5" s="1"/>
  <c r="O47" i="5" s="1"/>
  <c r="O51" i="5" s="1"/>
  <c r="M43" i="5"/>
  <c r="N43" i="5"/>
  <c r="Q10" i="5"/>
  <c r="Q20" i="5" s="1"/>
  <c r="Q23" i="5" s="1"/>
  <c r="E10" i="5"/>
  <c r="E20" i="5" s="1"/>
  <c r="D60" i="18"/>
  <c r="E60" i="18"/>
  <c r="H70" i="6"/>
  <c r="I69" i="6"/>
  <c r="M16" i="4" s="1"/>
  <c r="M17" i="4" s="1"/>
  <c r="AE10" i="5"/>
  <c r="AE20" i="5" s="1"/>
  <c r="S10" i="5"/>
  <c r="AH63" i="9"/>
  <c r="M40" i="5" l="1"/>
  <c r="M45" i="5" s="1"/>
  <c r="M47" i="5" s="1"/>
  <c r="K43" i="5"/>
  <c r="N40" i="5"/>
  <c r="N45" i="5" s="1"/>
  <c r="N47" i="5" s="1"/>
  <c r="N51" i="5" s="1"/>
  <c r="L43" i="5"/>
  <c r="E23" i="5"/>
  <c r="E59" i="18"/>
  <c r="E62" i="18" s="1"/>
  <c r="E63" i="18" s="1"/>
  <c r="D59" i="18"/>
  <c r="D62" i="18" s="1"/>
  <c r="D63" i="18" s="1"/>
  <c r="H69" i="6"/>
  <c r="L16" i="4" s="1"/>
  <c r="L17" i="4" s="1"/>
  <c r="G70" i="6"/>
  <c r="S20" i="5"/>
  <c r="S23" i="5" s="1"/>
  <c r="AI63" i="9"/>
  <c r="AJ63" i="9"/>
  <c r="AL63" i="9"/>
  <c r="AM63" i="9"/>
  <c r="AD92" i="9"/>
  <c r="K40" i="5" l="1"/>
  <c r="K45" i="5" s="1"/>
  <c r="K47" i="5" s="1"/>
  <c r="K51" i="5" s="1"/>
  <c r="I43" i="5"/>
  <c r="L40" i="5"/>
  <c r="L45" i="5" s="1"/>
  <c r="L47" i="5" s="1"/>
  <c r="L51" i="5" s="1"/>
  <c r="J43" i="5"/>
  <c r="F70" i="6"/>
  <c r="G69" i="6"/>
  <c r="K16" i="4" s="1"/>
  <c r="K17" i="4" s="1"/>
  <c r="AO57" i="9"/>
  <c r="Z121" i="6"/>
  <c r="AN56" i="9"/>
  <c r="AN54" i="9"/>
  <c r="AN55" i="9"/>
  <c r="AN53" i="9"/>
  <c r="AN63" i="9"/>
  <c r="AN51" i="9"/>
  <c r="AA121" i="6"/>
  <c r="AA119" i="6"/>
  <c r="AO54" i="9"/>
  <c r="AO49" i="9"/>
  <c r="AO63" i="9"/>
  <c r="AO51" i="9"/>
  <c r="I40" i="5" l="1"/>
  <c r="I45" i="5" s="1"/>
  <c r="I47" i="5" s="1"/>
  <c r="I51" i="5" s="1"/>
  <c r="G43" i="5"/>
  <c r="G40" i="5" s="1"/>
  <c r="G45" i="5" s="1"/>
  <c r="G47" i="5" s="1"/>
  <c r="J40" i="5"/>
  <c r="J45" i="5" s="1"/>
  <c r="J47" i="5" s="1"/>
  <c r="H43" i="5"/>
  <c r="E70" i="6"/>
  <c r="F69" i="6"/>
  <c r="J16" i="4" s="1"/>
  <c r="J17" i="4" s="1"/>
  <c r="AB123" i="6"/>
  <c r="AB122" i="6"/>
  <c r="AP56" i="9"/>
  <c r="AP55" i="9"/>
  <c r="AP54" i="9"/>
  <c r="AB121" i="6"/>
  <c r="AP53" i="9"/>
  <c r="AB120" i="6"/>
  <c r="AP63" i="9"/>
  <c r="AD63" i="9" s="1"/>
  <c r="AB119" i="6"/>
  <c r="AP51" i="9"/>
  <c r="AP49" i="9"/>
  <c r="H40" i="5" l="1"/>
  <c r="H45" i="5" s="1"/>
  <c r="H47" i="5" s="1"/>
  <c r="H51" i="5" s="1"/>
  <c r="F43" i="5"/>
  <c r="F40" i="5" s="1"/>
  <c r="F45" i="5" s="1"/>
  <c r="F47" i="5" s="1"/>
  <c r="F51" i="5" s="1"/>
  <c r="E69" i="6"/>
  <c r="I16" i="4" s="1"/>
  <c r="I17" i="4" s="1"/>
  <c r="D70" i="6"/>
  <c r="BW13" i="5"/>
  <c r="D69" i="6" l="1"/>
  <c r="B70" i="6"/>
  <c r="B69" i="6" s="1"/>
  <c r="D41" i="18"/>
  <c r="D42" i="18" s="1"/>
  <c r="E41" i="18"/>
  <c r="E42" i="18" s="1"/>
  <c r="H16" i="4"/>
  <c r="H17" i="4" s="1"/>
  <c r="BK13" i="5"/>
  <c r="BL13" i="5"/>
  <c r="BM13" i="5"/>
  <c r="BN13" i="5"/>
  <c r="BO13" i="5"/>
  <c r="BP13" i="5"/>
  <c r="BQ13" i="5"/>
  <c r="BR13" i="5"/>
  <c r="BS13" i="5"/>
  <c r="BT13" i="5"/>
  <c r="BU13" i="5"/>
  <c r="BJ13" i="5"/>
  <c r="BI13" i="5" l="1"/>
  <c r="BF38" i="9"/>
  <c r="BI36" i="5" l="1"/>
  <c r="BG129" i="9"/>
  <c r="BJ37" i="5" s="1"/>
  <c r="BH129" i="9"/>
  <c r="BK37" i="5" s="1"/>
  <c r="BI129" i="9"/>
  <c r="BL37" i="5" s="1"/>
  <c r="BJ129" i="9"/>
  <c r="BM37" i="5" s="1"/>
  <c r="BK129" i="9"/>
  <c r="BN37" i="5" s="1"/>
  <c r="BL129" i="9"/>
  <c r="BO37" i="5" s="1"/>
  <c r="BM129" i="9"/>
  <c r="BP37" i="5" s="1"/>
  <c r="BN129" i="9"/>
  <c r="BQ37" i="5" s="1"/>
  <c r="BO129" i="9"/>
  <c r="BR37" i="5" s="1"/>
  <c r="BP129" i="9"/>
  <c r="BS37" i="5" s="1"/>
  <c r="BQ129" i="9"/>
  <c r="BT37" i="5" s="1"/>
  <c r="BR129" i="9"/>
  <c r="BU37" i="5" s="1"/>
  <c r="BK49" i="5"/>
  <c r="BJ49" i="5"/>
  <c r="BK32" i="5"/>
  <c r="BJ32" i="5"/>
  <c r="BK38" i="5" l="1"/>
  <c r="BJ38" i="5"/>
  <c r="BF129" i="9"/>
  <c r="BR41" i="9" l="1"/>
  <c r="BQ41" i="9"/>
  <c r="BP41" i="9"/>
  <c r="BO41" i="9"/>
  <c r="BN41" i="9"/>
  <c r="BM41" i="9"/>
  <c r="BL41" i="9"/>
  <c r="BK41" i="9"/>
  <c r="BJ41" i="9"/>
  <c r="BI41" i="9"/>
  <c r="BH41" i="9"/>
  <c r="BK16" i="5" s="1"/>
  <c r="BK15" i="5" s="1"/>
  <c r="BG41" i="9"/>
  <c r="BJ16" i="5" s="1"/>
  <c r="BJ15" i="5" s="1"/>
  <c r="BR10" i="9"/>
  <c r="BU12" i="5" s="1"/>
  <c r="BQ10" i="9"/>
  <c r="BT12" i="5" s="1"/>
  <c r="BP10" i="9"/>
  <c r="BO10" i="9"/>
  <c r="BN10" i="9"/>
  <c r="BM10" i="9"/>
  <c r="BL10" i="9"/>
  <c r="BK10" i="9"/>
  <c r="BN12" i="5" s="1"/>
  <c r="BJ10" i="9"/>
  <c r="BM12" i="5" s="1"/>
  <c r="BI10" i="9"/>
  <c r="BL12" i="5" s="1"/>
  <c r="BH10" i="9"/>
  <c r="BG10" i="9"/>
  <c r="BJ12" i="5" s="1"/>
  <c r="BF35" i="9"/>
  <c r="AR35" i="9"/>
  <c r="BF31" i="9"/>
  <c r="BO9" i="9" l="1"/>
  <c r="BR12" i="5"/>
  <c r="BP9" i="9"/>
  <c r="BS12" i="5"/>
  <c r="BI9" i="9"/>
  <c r="BK9" i="9"/>
  <c r="BL9" i="9"/>
  <c r="BO12" i="5"/>
  <c r="BQ9" i="9"/>
  <c r="BM9" i="9"/>
  <c r="BP12" i="5"/>
  <c r="BH9" i="9"/>
  <c r="BK12" i="5"/>
  <c r="BK10" i="5" s="1"/>
  <c r="BK20" i="5" s="1"/>
  <c r="BK23" i="5" s="1"/>
  <c r="BJ9" i="9"/>
  <c r="BR9" i="9"/>
  <c r="BN9" i="9"/>
  <c r="BQ12" i="5"/>
  <c r="BG9" i="9"/>
  <c r="BJ10" i="5"/>
  <c r="BJ20" i="5" s="1"/>
  <c r="BJ23" i="5" s="1"/>
  <c r="AZ17" i="5"/>
  <c r="AU17" i="5" s="1"/>
  <c r="AU15" i="5" s="1"/>
  <c r="AX41" i="9"/>
  <c r="BI12" i="5" l="1"/>
  <c r="BI10" i="5" s="1"/>
  <c r="AW13" i="5"/>
  <c r="AX13" i="5"/>
  <c r="AY13" i="5"/>
  <c r="AZ13" i="5"/>
  <c r="BA13" i="5"/>
  <c r="BB13" i="5"/>
  <c r="BC13" i="5"/>
  <c r="BD13" i="5"/>
  <c r="BE13" i="5"/>
  <c r="BF13" i="5"/>
  <c r="BG13" i="5"/>
  <c r="AV13" i="5"/>
  <c r="AS13" i="5"/>
  <c r="AR38" i="9"/>
  <c r="AR12" i="9"/>
  <c r="AR13" i="9"/>
  <c r="AR14" i="9"/>
  <c r="AR15" i="9"/>
  <c r="AR16" i="9"/>
  <c r="AR17" i="9"/>
  <c r="AR18" i="9"/>
  <c r="AR20" i="9"/>
  <c r="AR21" i="9"/>
  <c r="AR23" i="9"/>
  <c r="AR24" i="9"/>
  <c r="AR25" i="9"/>
  <c r="AR26" i="9"/>
  <c r="AR27" i="9"/>
  <c r="AR28" i="9"/>
  <c r="AR32" i="9"/>
  <c r="AR33" i="9"/>
  <c r="AR34" i="9"/>
  <c r="AR37" i="9"/>
  <c r="AR11" i="9"/>
  <c r="BD10" i="9"/>
  <c r="BD9" i="9" s="1"/>
  <c r="BC10" i="9"/>
  <c r="BC9" i="9" s="1"/>
  <c r="BB10" i="9"/>
  <c r="BB9" i="9" s="1"/>
  <c r="BA10" i="9"/>
  <c r="BA9" i="9" s="1"/>
  <c r="AZ10" i="9"/>
  <c r="AZ9" i="9" s="1"/>
  <c r="AY10" i="9"/>
  <c r="AY9" i="9" s="1"/>
  <c r="AX10" i="9"/>
  <c r="AX9" i="9" s="1"/>
  <c r="AW10" i="9"/>
  <c r="AW9" i="9" s="1"/>
  <c r="AV10" i="9"/>
  <c r="AV9" i="9" s="1"/>
  <c r="AU10" i="9"/>
  <c r="AU9" i="9" s="1"/>
  <c r="AT10" i="9"/>
  <c r="AT9" i="9" s="1"/>
  <c r="AS10" i="9"/>
  <c r="AS9" i="9" s="1"/>
  <c r="AU13" i="5" l="1"/>
  <c r="BC12" i="5"/>
  <c r="BC10" i="5" s="1"/>
  <c r="BB12" i="5"/>
  <c r="BB10" i="5" s="1"/>
  <c r="BA12" i="5"/>
  <c r="BA10" i="5" s="1"/>
  <c r="AZ12" i="5"/>
  <c r="AZ10" i="5" s="1"/>
  <c r="BG12" i="5"/>
  <c r="BG10" i="5" s="1"/>
  <c r="AY12" i="5"/>
  <c r="AY10" i="5" s="1"/>
  <c r="BF12" i="5"/>
  <c r="BF10" i="5" s="1"/>
  <c r="AX12" i="5"/>
  <c r="BE12" i="5"/>
  <c r="BE10" i="5" s="1"/>
  <c r="AW12" i="5"/>
  <c r="AW10" i="5" s="1"/>
  <c r="AV12" i="5"/>
  <c r="AV10" i="5" s="1"/>
  <c r="BD12" i="5"/>
  <c r="BD10" i="5" s="1"/>
  <c r="AR10" i="9"/>
  <c r="AR9" i="9" s="1"/>
  <c r="AU12" i="5" l="1"/>
  <c r="AU10" i="5" s="1"/>
  <c r="AX10" i="5"/>
  <c r="AD37" i="9" l="1"/>
  <c r="AH13" i="5"/>
  <c r="AI13" i="5"/>
  <c r="AJ13" i="5"/>
  <c r="AK13" i="5"/>
  <c r="AL13" i="5"/>
  <c r="AM13" i="5"/>
  <c r="AN13" i="5"/>
  <c r="AO13" i="5"/>
  <c r="AP13" i="5"/>
  <c r="AQ13" i="5"/>
  <c r="AR13" i="5"/>
  <c r="AD13" i="9"/>
  <c r="AD14" i="9"/>
  <c r="AD15" i="9"/>
  <c r="AD16" i="9"/>
  <c r="AD17" i="9"/>
  <c r="AD18" i="9"/>
  <c r="AD20" i="9"/>
  <c r="AD21" i="9"/>
  <c r="AD23" i="9"/>
  <c r="AD24" i="9"/>
  <c r="AD25" i="9"/>
  <c r="AD26" i="9"/>
  <c r="AD27" i="9"/>
  <c r="AD28" i="9"/>
  <c r="AD32" i="9"/>
  <c r="AD33" i="9"/>
  <c r="AD34" i="9"/>
  <c r="AD11" i="9"/>
  <c r="AD38" i="9"/>
  <c r="BT18" i="9"/>
  <c r="BF18" i="9"/>
  <c r="BT15" i="9"/>
  <c r="BF15" i="9"/>
  <c r="BF14" i="9"/>
  <c r="BT13" i="9"/>
  <c r="BF13" i="9"/>
  <c r="BT12" i="9"/>
  <c r="BF12" i="9"/>
  <c r="AE41" i="9"/>
  <c r="AF41" i="9"/>
  <c r="AG41" i="9"/>
  <c r="AH41" i="9"/>
  <c r="AI41" i="9"/>
  <c r="AK41" i="9"/>
  <c r="AL41" i="9"/>
  <c r="AM41" i="9"/>
  <c r="AN41" i="9"/>
  <c r="AO41" i="9"/>
  <c r="AP41" i="9"/>
  <c r="AD42" i="9"/>
  <c r="BT34" i="9"/>
  <c r="BF34" i="9"/>
  <c r="BT33" i="9"/>
  <c r="BF33" i="9"/>
  <c r="BT32" i="9"/>
  <c r="BF32" i="9"/>
  <c r="BT28" i="9"/>
  <c r="BF28" i="9"/>
  <c r="BT27" i="9"/>
  <c r="BF27" i="9"/>
  <c r="BT26" i="9"/>
  <c r="BF26" i="9"/>
  <c r="BF25" i="9"/>
  <c r="BT24" i="9"/>
  <c r="BF24" i="9"/>
  <c r="BT23" i="9"/>
  <c r="BF23" i="9"/>
  <c r="BT21" i="9"/>
  <c r="BF21" i="9"/>
  <c r="BT20" i="9"/>
  <c r="BF20" i="9"/>
  <c r="BT17" i="9"/>
  <c r="BF17" i="9"/>
  <c r="BT16" i="9"/>
  <c r="BF16" i="9"/>
  <c r="BT11" i="9"/>
  <c r="BF11" i="9"/>
  <c r="AG13" i="5" l="1"/>
  <c r="D13" i="19"/>
  <c r="AD41" i="9"/>
  <c r="AO10" i="9"/>
  <c r="AP10" i="9"/>
  <c r="AN10" i="9" l="1"/>
  <c r="AS12" i="5"/>
  <c r="AS10" i="5" s="1"/>
  <c r="AP9" i="9"/>
  <c r="AR12" i="5"/>
  <c r="AR10" i="5" s="1"/>
  <c r="AO9" i="9"/>
  <c r="AN9" i="9" l="1"/>
  <c r="AQ12" i="5"/>
  <c r="AQ10" i="5" s="1"/>
  <c r="AM10" i="9"/>
  <c r="AL10" i="9" l="1"/>
  <c r="AP12" i="5"/>
  <c r="AP10" i="5" s="1"/>
  <c r="AM9" i="9"/>
  <c r="AK10" i="9" l="1"/>
  <c r="AL9" i="9"/>
  <c r="AO12" i="5"/>
  <c r="AO10" i="5" s="1"/>
  <c r="AJ10" i="9" l="1"/>
  <c r="AK9" i="9"/>
  <c r="AN12" i="5"/>
  <c r="AN10" i="5" s="1"/>
  <c r="AJ9" i="9" l="1"/>
  <c r="AM12" i="5"/>
  <c r="AM10" i="5" s="1"/>
  <c r="AI10" i="9"/>
  <c r="AH10" i="9" l="1"/>
  <c r="AL12" i="5"/>
  <c r="AL10" i="5" s="1"/>
  <c r="AI9" i="9"/>
  <c r="AG10" i="9" l="1"/>
  <c r="AK12" i="5"/>
  <c r="AK10" i="5" s="1"/>
  <c r="AH9" i="9"/>
  <c r="AF10" i="9" l="1"/>
  <c r="AJ12" i="5"/>
  <c r="AJ10" i="5" s="1"/>
  <c r="AG9" i="9"/>
  <c r="AI12" i="5" l="1"/>
  <c r="AI10" i="5" s="1"/>
  <c r="AF9" i="9"/>
  <c r="AD12" i="9"/>
  <c r="AD10" i="9" s="1"/>
  <c r="AE10" i="9"/>
  <c r="AD9" i="9" l="1"/>
  <c r="D12" i="19"/>
  <c r="AH12" i="5"/>
  <c r="AE9" i="9"/>
  <c r="AH10" i="5" l="1"/>
  <c r="AG12" i="5"/>
  <c r="AG10" i="5" s="1"/>
  <c r="BW37" i="5" l="1"/>
  <c r="BW49" i="5"/>
  <c r="AD131" i="9"/>
  <c r="AD130" i="9"/>
  <c r="AE129" i="9"/>
  <c r="AH37" i="5" s="1"/>
  <c r="AF129" i="9"/>
  <c r="AI37" i="5" s="1"/>
  <c r="AG129" i="9"/>
  <c r="AJ37" i="5" s="1"/>
  <c r="AH129" i="9"/>
  <c r="AK37" i="5" s="1"/>
  <c r="AI129" i="9"/>
  <c r="AL37" i="5" s="1"/>
  <c r="AJ129" i="9"/>
  <c r="AM37" i="5" s="1"/>
  <c r="AK129" i="9"/>
  <c r="AN37" i="5" s="1"/>
  <c r="AL129" i="9"/>
  <c r="AO37" i="5" s="1"/>
  <c r="AM129" i="9"/>
  <c r="AP37" i="5" s="1"/>
  <c r="AN129" i="9"/>
  <c r="AQ37" i="5" s="1"/>
  <c r="AO129" i="9"/>
  <c r="AR37" i="5" s="1"/>
  <c r="AP129" i="9"/>
  <c r="AS37" i="5" s="1"/>
  <c r="AB116" i="6"/>
  <c r="G78" i="18"/>
  <c r="H78" i="18"/>
  <c r="I78" i="18"/>
  <c r="BT49" i="9"/>
  <c r="O65" i="6" l="1"/>
  <c r="N65" i="6"/>
  <c r="O62" i="6"/>
  <c r="N62" i="6"/>
  <c r="AD129" i="9"/>
  <c r="J80" i="18"/>
  <c r="J79" i="18"/>
  <c r="I80" i="18"/>
  <c r="I79" i="18"/>
  <c r="H80" i="18"/>
  <c r="H79" i="18"/>
  <c r="H60" i="18"/>
  <c r="J55" i="18"/>
  <c r="I55" i="18"/>
  <c r="H55" i="18"/>
  <c r="J50" i="18"/>
  <c r="I50" i="18"/>
  <c r="G42" i="18"/>
  <c r="H42" i="18"/>
  <c r="J42" i="18"/>
  <c r="F42" i="18"/>
  <c r="AQ69" i="6"/>
  <c r="AU16" i="4" s="1"/>
  <c r="BD69" i="6"/>
  <c r="BH16" i="4" s="1"/>
  <c r="AO69" i="6"/>
  <c r="AN69" i="6"/>
  <c r="AM69" i="6"/>
  <c r="AL69" i="6"/>
  <c r="AK69" i="6"/>
  <c r="AJ69" i="6"/>
  <c r="AI69" i="6"/>
  <c r="AH69" i="6"/>
  <c r="AG69" i="6"/>
  <c r="AF69" i="6"/>
  <c r="AE69" i="6"/>
  <c r="AD69" i="6"/>
  <c r="AH16" i="4" s="1"/>
  <c r="AF16" i="4"/>
  <c r="AE16" i="4"/>
  <c r="AD16" i="4"/>
  <c r="AC16" i="4"/>
  <c r="AB16" i="4"/>
  <c r="AA16" i="4"/>
  <c r="Z16" i="4"/>
  <c r="Y16" i="4"/>
  <c r="X16" i="4"/>
  <c r="W16" i="4"/>
  <c r="V16" i="4"/>
  <c r="U16" i="4"/>
  <c r="J36" i="18"/>
  <c r="J38" i="18"/>
  <c r="J39" i="18"/>
  <c r="J35" i="18"/>
  <c r="I36" i="18"/>
  <c r="I38" i="18"/>
  <c r="I39" i="18"/>
  <c r="I35" i="18"/>
  <c r="H36" i="18"/>
  <c r="H38" i="18"/>
  <c r="H39" i="18"/>
  <c r="H35" i="18"/>
  <c r="G39" i="18"/>
  <c r="F39" i="18"/>
  <c r="J30" i="18"/>
  <c r="I30" i="18"/>
  <c r="G30" i="18"/>
  <c r="F30" i="18"/>
  <c r="J29" i="18"/>
  <c r="I29" i="18"/>
  <c r="G29" i="18"/>
  <c r="F29" i="18"/>
  <c r="F10" i="18"/>
  <c r="F9" i="18"/>
  <c r="G10" i="18"/>
  <c r="H10" i="18"/>
  <c r="I10" i="18"/>
  <c r="J10" i="18"/>
  <c r="G9" i="18"/>
  <c r="H9" i="18"/>
  <c r="J9" i="18"/>
  <c r="B3" i="19"/>
  <c r="B2" i="19"/>
  <c r="N61" i="6" l="1"/>
  <c r="O61" i="6"/>
  <c r="S15" i="4" s="1"/>
  <c r="S17" i="4" s="1"/>
  <c r="R15" i="4"/>
  <c r="R17" i="4" s="1"/>
  <c r="I41" i="18"/>
  <c r="I42" i="18" s="1"/>
  <c r="J40" i="18"/>
  <c r="F11" i="18"/>
  <c r="J34" i="18"/>
  <c r="I34" i="18"/>
  <c r="J76" i="18" l="1"/>
  <c r="I40" i="18"/>
  <c r="G34" i="18"/>
  <c r="F34" i="18"/>
  <c r="J24" i="18"/>
  <c r="I24" i="18"/>
  <c r="G24" i="18"/>
  <c r="F24" i="18"/>
  <c r="H22" i="18"/>
  <c r="H24" i="18" s="1"/>
  <c r="J15" i="18"/>
  <c r="J11" i="18"/>
  <c r="G11" i="18"/>
  <c r="H11" i="18"/>
  <c r="H40" i="18" l="1"/>
  <c r="G11" i="17" l="1"/>
  <c r="G12" i="17"/>
  <c r="G10" i="17"/>
  <c r="G9" i="17"/>
  <c r="E15" i="15"/>
  <c r="Q104" i="6" l="1"/>
  <c r="R104" i="6"/>
  <c r="S104" i="6"/>
  <c r="T104" i="6"/>
  <c r="U104" i="6"/>
  <c r="V104" i="6"/>
  <c r="W104" i="6"/>
  <c r="X104" i="6"/>
  <c r="Y104" i="6"/>
  <c r="Q100" i="6"/>
  <c r="R100" i="6"/>
  <c r="S100" i="6"/>
  <c r="T100" i="6"/>
  <c r="U100" i="6"/>
  <c r="V100" i="6"/>
  <c r="W100" i="6"/>
  <c r="X100" i="6"/>
  <c r="Y100" i="6"/>
  <c r="L17" i="11" l="1"/>
  <c r="C15" i="11"/>
  <c r="C14" i="11" s="1"/>
  <c r="C10" i="11"/>
  <c r="S109" i="6"/>
  <c r="G14" i="11" l="1"/>
  <c r="F17" i="12" l="1"/>
  <c r="F13" i="17"/>
  <c r="D13" i="17"/>
  <c r="C13" i="17"/>
  <c r="G8" i="17"/>
  <c r="G13" i="17" s="1"/>
  <c r="C9" i="16"/>
  <c r="E9" i="16"/>
  <c r="F10" i="16"/>
  <c r="D9" i="16"/>
  <c r="E8" i="16"/>
  <c r="B3" i="5"/>
  <c r="D11" i="16"/>
  <c r="G17" i="12"/>
  <c r="I17" i="12"/>
  <c r="I18" i="12" s="1"/>
  <c r="E11" i="16" l="1"/>
  <c r="F9" i="16"/>
  <c r="H17" i="12"/>
  <c r="F11" i="16"/>
  <c r="C11" i="16"/>
  <c r="AB31" i="6"/>
  <c r="AA31" i="6" s="1"/>
  <c r="Z31" i="6" s="1"/>
  <c r="Y31" i="6" s="1"/>
  <c r="AB23" i="6"/>
  <c r="AB22" i="6"/>
  <c r="AA22" i="6" s="1"/>
  <c r="Z22" i="6" s="1"/>
  <c r="Y22" i="6" s="1"/>
  <c r="X22" i="6" s="1"/>
  <c r="W22" i="6" s="1"/>
  <c r="V22" i="6" s="1"/>
  <c r="Z17" i="6" l="1"/>
  <c r="U18" i="6" l="1"/>
  <c r="V18" i="6"/>
  <c r="W18" i="6"/>
  <c r="X18" i="6"/>
  <c r="Y18" i="6"/>
  <c r="AA18" i="6"/>
  <c r="AB18" i="6"/>
  <c r="X50" i="6" l="1"/>
  <c r="X48" i="6"/>
  <c r="AD123" i="9" l="1"/>
  <c r="AF121" i="9"/>
  <c r="AG121" i="9"/>
  <c r="AH121" i="9"/>
  <c r="AI121" i="9"/>
  <c r="AJ121" i="9"/>
  <c r="AE121" i="9"/>
  <c r="Q10" i="6" l="1"/>
  <c r="Q62" i="6"/>
  <c r="Q65" i="6"/>
  <c r="R109" i="6"/>
  <c r="Q109" i="6" s="1"/>
  <c r="R83" i="6"/>
  <c r="Q83" i="6" s="1"/>
  <c r="R48" i="6"/>
  <c r="Q48" i="6" s="1"/>
  <c r="O48" i="6" s="1"/>
  <c r="N48" i="6" s="1"/>
  <c r="M48" i="6" l="1"/>
  <c r="G35" i="18"/>
  <c r="F35" i="18"/>
  <c r="L48" i="6" l="1"/>
  <c r="T84" i="6"/>
  <c r="T110" i="6"/>
  <c r="S110" i="6" s="1"/>
  <c r="R110" i="6" s="1"/>
  <c r="Q110" i="6" s="1"/>
  <c r="U118" i="6" l="1"/>
  <c r="AJ48" i="9"/>
  <c r="U33" i="6"/>
  <c r="T33" i="6" s="1"/>
  <c r="U32" i="6"/>
  <c r="U29" i="6"/>
  <c r="U28" i="6"/>
  <c r="U27" i="6"/>
  <c r="U26" i="6"/>
  <c r="U25" i="6"/>
  <c r="U22" i="6"/>
  <c r="U21" i="6"/>
  <c r="U20" i="6"/>
  <c r="V84" i="6"/>
  <c r="V81" i="6"/>
  <c r="Q79" i="6"/>
  <c r="U26" i="4" s="1"/>
  <c r="AD58" i="9"/>
  <c r="AB58" i="9" s="1"/>
  <c r="AA58" i="9" s="1"/>
  <c r="AD59" i="9"/>
  <c r="AB59" i="9" s="1"/>
  <c r="AA59" i="9" s="1"/>
  <c r="AD60" i="9"/>
  <c r="W92" i="6"/>
  <c r="W79" i="6" s="1"/>
  <c r="W51" i="6"/>
  <c r="V51" i="6" s="1"/>
  <c r="U51" i="6" s="1"/>
  <c r="T51" i="6" s="1"/>
  <c r="S51" i="6" s="1"/>
  <c r="R51" i="6" s="1"/>
  <c r="Q51" i="6" s="1"/>
  <c r="O51" i="6" s="1"/>
  <c r="N51" i="6" s="1"/>
  <c r="M51" i="6" s="1"/>
  <c r="L51" i="6" s="1"/>
  <c r="K51" i="6" s="1"/>
  <c r="W50" i="6"/>
  <c r="V50" i="6" s="1"/>
  <c r="U50" i="6" s="1"/>
  <c r="T50" i="6" s="1"/>
  <c r="S50" i="6" s="1"/>
  <c r="R50" i="6" s="1"/>
  <c r="Q50" i="6" s="1"/>
  <c r="W48" i="6"/>
  <c r="W28" i="6"/>
  <c r="O50" i="6" l="1"/>
  <c r="N50" i="6" s="1"/>
  <c r="K47" i="6"/>
  <c r="K14" i="6" s="1"/>
  <c r="J51" i="6"/>
  <c r="V92" i="6"/>
  <c r="Z59" i="9"/>
  <c r="Y59" i="9" s="1"/>
  <c r="X59" i="9" s="1"/>
  <c r="W59" i="9" s="1"/>
  <c r="V59" i="9" s="1"/>
  <c r="U59" i="9" s="1"/>
  <c r="T59" i="9" s="1"/>
  <c r="S59" i="9" s="1"/>
  <c r="R59" i="9" s="1"/>
  <c r="Z58" i="9"/>
  <c r="Y58" i="9" s="1"/>
  <c r="P58" i="9" s="1"/>
  <c r="F46" i="18"/>
  <c r="G46" i="18"/>
  <c r="G80" i="18"/>
  <c r="F80" i="18"/>
  <c r="G79" i="18"/>
  <c r="F79" i="18"/>
  <c r="Q47" i="6"/>
  <c r="G38" i="18"/>
  <c r="F38" i="18"/>
  <c r="G36" i="18"/>
  <c r="F36" i="18"/>
  <c r="AA84" i="6"/>
  <c r="Z84" i="6" s="1"/>
  <c r="Y84" i="6" s="1"/>
  <c r="X84" i="6" s="1"/>
  <c r="Q59" i="9" l="1"/>
  <c r="P59" i="9" s="1"/>
  <c r="M59" i="9" s="1"/>
  <c r="K75" i="6"/>
  <c r="O11" i="4"/>
  <c r="O12" i="4" s="1"/>
  <c r="O19" i="4" s="1"/>
  <c r="J47" i="6"/>
  <c r="J14" i="6" s="1"/>
  <c r="I51" i="6"/>
  <c r="M50" i="6"/>
  <c r="L50" i="6" s="1"/>
  <c r="N47" i="6"/>
  <c r="N14" i="6" s="1"/>
  <c r="O47" i="6"/>
  <c r="O14" i="6" s="1"/>
  <c r="F40" i="18"/>
  <c r="G40" i="18"/>
  <c r="X92" i="6"/>
  <c r="X20" i="6"/>
  <c r="X21" i="6"/>
  <c r="X25" i="6"/>
  <c r="X26" i="6"/>
  <c r="X27" i="6"/>
  <c r="X29" i="6"/>
  <c r="X31" i="6"/>
  <c r="X32" i="6"/>
  <c r="N59" i="9" l="1"/>
  <c r="L59" i="9" s="1"/>
  <c r="J59" i="9" s="1"/>
  <c r="S11" i="4"/>
  <c r="S12" i="4" s="1"/>
  <c r="S19" i="4" s="1"/>
  <c r="O75" i="6"/>
  <c r="R11" i="4"/>
  <c r="R12" i="4" s="1"/>
  <c r="R19" i="4" s="1"/>
  <c r="N75" i="6"/>
  <c r="L47" i="6"/>
  <c r="L14" i="6" s="1"/>
  <c r="M47" i="6"/>
  <c r="M14" i="6" s="1"/>
  <c r="H51" i="6"/>
  <c r="I47" i="6"/>
  <c r="I14" i="6" s="1"/>
  <c r="N11" i="4"/>
  <c r="N12" i="4" s="1"/>
  <c r="N19" i="4" s="1"/>
  <c r="J75" i="6"/>
  <c r="AP15" i="5"/>
  <c r="AD168" i="9"/>
  <c r="Y23" i="6"/>
  <c r="X23" i="6" s="1"/>
  <c r="W23" i="6" s="1"/>
  <c r="V23" i="6" s="1"/>
  <c r="U23" i="6" s="1"/>
  <c r="Y17" i="6"/>
  <c r="W17" i="6" s="1"/>
  <c r="Z126" i="6"/>
  <c r="Y126" i="6" s="1"/>
  <c r="X126" i="6" s="1"/>
  <c r="AA116" i="6"/>
  <c r="Z116" i="6" s="1"/>
  <c r="Y116" i="6" s="1"/>
  <c r="X116" i="6" s="1"/>
  <c r="W116" i="6" s="1"/>
  <c r="V116" i="6" s="1"/>
  <c r="U116" i="6" s="1"/>
  <c r="T116" i="6" s="1"/>
  <c r="S116" i="6" s="1"/>
  <c r="R116" i="6" s="1"/>
  <c r="Q116" i="6" s="1"/>
  <c r="Z92" i="6"/>
  <c r="Z33" i="6"/>
  <c r="Y33" i="6" s="1"/>
  <c r="K59" i="9" l="1"/>
  <c r="I59" i="9" s="1"/>
  <c r="G59" i="9" s="1"/>
  <c r="Q11" i="4"/>
  <c r="Q12" i="4" s="1"/>
  <c r="Q19" i="4" s="1"/>
  <c r="M75" i="6"/>
  <c r="I75" i="6"/>
  <c r="M11" i="4"/>
  <c r="M12" i="4" s="1"/>
  <c r="M19" i="4" s="1"/>
  <c r="G51" i="6"/>
  <c r="H47" i="6"/>
  <c r="H14" i="6" s="1"/>
  <c r="P11" i="4"/>
  <c r="P12" i="4" s="1"/>
  <c r="P19" i="4" s="1"/>
  <c r="L75" i="6"/>
  <c r="AA113" i="6"/>
  <c r="Z113" i="6" s="1"/>
  <c r="Y113" i="6" s="1"/>
  <c r="X113" i="6" s="1"/>
  <c r="W113" i="6" s="1"/>
  <c r="V113" i="6" s="1"/>
  <c r="U113" i="6" s="1"/>
  <c r="T113" i="6" s="1"/>
  <c r="S113" i="6" s="1"/>
  <c r="R113" i="6" s="1"/>
  <c r="Q113" i="6" s="1"/>
  <c r="AO156" i="9"/>
  <c r="AA114" i="6"/>
  <c r="Z114" i="6" s="1"/>
  <c r="Y114" i="6" s="1"/>
  <c r="X114" i="6" s="1"/>
  <c r="W114" i="6" s="1"/>
  <c r="V114" i="6" s="1"/>
  <c r="U114" i="6" s="1"/>
  <c r="T114" i="6" s="1"/>
  <c r="S114" i="6" s="1"/>
  <c r="R114" i="6" s="1"/>
  <c r="Q114" i="6" s="1"/>
  <c r="AA109" i="6"/>
  <c r="Z109" i="6" s="1"/>
  <c r="Y109" i="6" s="1"/>
  <c r="X109" i="6" s="1"/>
  <c r="W109" i="6" s="1"/>
  <c r="V109" i="6" s="1"/>
  <c r="U109" i="6" s="1"/>
  <c r="AA110" i="6"/>
  <c r="Z110" i="6" s="1"/>
  <c r="Y110" i="6" s="1"/>
  <c r="X110" i="6" s="1"/>
  <c r="W110" i="6" s="1"/>
  <c r="V110" i="6" s="1"/>
  <c r="U110" i="6" s="1"/>
  <c r="AA50" i="6"/>
  <c r="Z50" i="6" s="1"/>
  <c r="Y50" i="6" s="1"/>
  <c r="H59" i="9" l="1"/>
  <c r="F59" i="9" s="1"/>
  <c r="D59" i="9" s="1"/>
  <c r="O116" i="6"/>
  <c r="N116" i="6" s="1"/>
  <c r="M116" i="6"/>
  <c r="N112" i="6"/>
  <c r="H75" i="6"/>
  <c r="L11" i="4"/>
  <c r="L12" i="4" s="1"/>
  <c r="L19" i="4" s="1"/>
  <c r="O112" i="6"/>
  <c r="F51" i="6"/>
  <c r="G47" i="6"/>
  <c r="G14" i="6" s="1"/>
  <c r="AD165" i="9"/>
  <c r="AE165" i="9"/>
  <c r="AF165" i="9"/>
  <c r="AI43" i="5" s="1"/>
  <c r="AG165" i="9"/>
  <c r="AH165" i="9"/>
  <c r="AI165" i="9"/>
  <c r="AJ165" i="9"/>
  <c r="AK165" i="9"/>
  <c r="AN43" i="5" s="1"/>
  <c r="AL165" i="9"/>
  <c r="AO43" i="5" s="1"/>
  <c r="AM165" i="9"/>
  <c r="AN165" i="9"/>
  <c r="AO165" i="9"/>
  <c r="AP165" i="9"/>
  <c r="AS43" i="5" s="1"/>
  <c r="AB112" i="6"/>
  <c r="E59" i="9" l="1"/>
  <c r="C59" i="9" s="1"/>
  <c r="K11" i="4"/>
  <c r="K12" i="4" s="1"/>
  <c r="K19" i="4" s="1"/>
  <c r="G75" i="6"/>
  <c r="E51" i="6"/>
  <c r="D51" i="6" s="1"/>
  <c r="B47" i="6" s="1"/>
  <c r="B14" i="6" s="1"/>
  <c r="F47" i="6"/>
  <c r="F14" i="6" s="1"/>
  <c r="L116" i="6"/>
  <c r="K116" i="6" s="1"/>
  <c r="M112" i="6"/>
  <c r="AL43" i="5"/>
  <c r="AM43" i="5"/>
  <c r="AK43" i="5"/>
  <c r="AJ43" i="5"/>
  <c r="AH43" i="5"/>
  <c r="AQ43" i="5"/>
  <c r="AR43" i="5"/>
  <c r="AO171" i="9"/>
  <c r="AP43" i="5"/>
  <c r="S15" i="6"/>
  <c r="R15" i="6"/>
  <c r="Q15" i="6"/>
  <c r="AB51" i="6"/>
  <c r="AA51" i="6" s="1"/>
  <c r="Z51" i="6" s="1"/>
  <c r="Y51" i="6" s="1"/>
  <c r="AB19" i="6"/>
  <c r="AD15" i="6"/>
  <c r="H16" i="18" s="1"/>
  <c r="H21" i="18" s="1"/>
  <c r="AB25" i="6"/>
  <c r="AA25" i="6" s="1"/>
  <c r="AB28" i="6"/>
  <c r="AA28" i="6" s="1"/>
  <c r="AD133" i="6"/>
  <c r="B75" i="6" l="1"/>
  <c r="F11" i="4"/>
  <c r="F12" i="4" s="1"/>
  <c r="F19" i="4" s="1"/>
  <c r="D38" i="18"/>
  <c r="D40" i="18" s="1"/>
  <c r="D43" i="18" s="1"/>
  <c r="D80" i="18"/>
  <c r="E80" i="18"/>
  <c r="E38" i="18"/>
  <c r="E40" i="18" s="1"/>
  <c r="E43" i="18" s="1"/>
  <c r="J116" i="6"/>
  <c r="K112" i="6"/>
  <c r="E47" i="6"/>
  <c r="E14" i="6" s="1"/>
  <c r="E75" i="6" s="1"/>
  <c r="D47" i="6"/>
  <c r="D14" i="6" s="1"/>
  <c r="L112" i="6"/>
  <c r="F75" i="6"/>
  <c r="J11" i="4"/>
  <c r="J12" i="4" s="1"/>
  <c r="J19" i="4" s="1"/>
  <c r="AG43" i="5"/>
  <c r="AA19" i="6"/>
  <c r="Z19" i="6" s="1"/>
  <c r="Y19" i="6" s="1"/>
  <c r="X19" i="6" s="1"/>
  <c r="W19" i="6" s="1"/>
  <c r="V19" i="6" s="1"/>
  <c r="U19" i="6" s="1"/>
  <c r="AB15" i="6"/>
  <c r="F16" i="18"/>
  <c r="F21" i="18" s="1"/>
  <c r="F43" i="18" s="1"/>
  <c r="G16" i="18"/>
  <c r="G21" i="18" s="1"/>
  <c r="Z28" i="6"/>
  <c r="AQ11" i="6"/>
  <c r="I9" i="18" s="1"/>
  <c r="I11" i="18" s="1"/>
  <c r="AR94" i="9"/>
  <c r="AR96" i="9"/>
  <c r="AR97" i="9"/>
  <c r="AR99" i="9"/>
  <c r="I11" i="4" l="1"/>
  <c r="I12" i="4" s="1"/>
  <c r="I19" i="4" s="1"/>
  <c r="D75" i="6"/>
  <c r="H11" i="4"/>
  <c r="H12" i="4" s="1"/>
  <c r="H19" i="4" s="1"/>
  <c r="Z15" i="6"/>
  <c r="AA15" i="6"/>
  <c r="X15" i="6"/>
  <c r="Y15" i="6"/>
  <c r="W15" i="6"/>
  <c r="G43" i="18"/>
  <c r="AR162" i="9"/>
  <c r="I116" i="6" l="1"/>
  <c r="H116" i="6" s="1"/>
  <c r="J112" i="6"/>
  <c r="E13" i="15"/>
  <c r="I112" i="6" l="1"/>
  <c r="C31" i="14"/>
  <c r="H112" i="6" l="1"/>
  <c r="G116" i="6"/>
  <c r="AD114" i="6"/>
  <c r="AD113" i="6"/>
  <c r="G112" i="6" l="1"/>
  <c r="F116" i="6"/>
  <c r="E116" i="6" s="1"/>
  <c r="D116" i="6" s="1"/>
  <c r="AC114" i="6"/>
  <c r="AD112" i="6"/>
  <c r="H49" i="18" s="1"/>
  <c r="AM156" i="9"/>
  <c r="AM171" i="9" s="1"/>
  <c r="AM134" i="9"/>
  <c r="AM78" i="9"/>
  <c r="AM48" i="9"/>
  <c r="AT11" i="4"/>
  <c r="BG11" i="4"/>
  <c r="E112" i="6" l="1"/>
  <c r="D112" i="6"/>
  <c r="F112" i="6"/>
  <c r="AE156" i="9"/>
  <c r="AE171" i="9" s="1"/>
  <c r="AF156" i="9"/>
  <c r="AF171" i="9" s="1"/>
  <c r="AG156" i="9"/>
  <c r="AG171" i="9" s="1"/>
  <c r="AH156" i="9"/>
  <c r="AH171" i="9" s="1"/>
  <c r="AI156" i="9"/>
  <c r="AI171" i="9" s="1"/>
  <c r="AJ156" i="9"/>
  <c r="AJ171" i="9" s="1"/>
  <c r="AK156" i="9"/>
  <c r="AK171" i="9" s="1"/>
  <c r="AL156" i="9"/>
  <c r="AL171" i="9" s="1"/>
  <c r="AN156" i="9"/>
  <c r="AN171" i="9" s="1"/>
  <c r="AE134" i="9"/>
  <c r="AF134" i="9"/>
  <c r="AG134" i="9"/>
  <c r="AH134" i="9"/>
  <c r="AI134" i="9"/>
  <c r="AJ134" i="9"/>
  <c r="AK134" i="9"/>
  <c r="AE114" i="9"/>
  <c r="AF114" i="9"/>
  <c r="AG114" i="9"/>
  <c r="AH114" i="9"/>
  <c r="AI114" i="9"/>
  <c r="AJ114" i="9"/>
  <c r="AK114" i="9"/>
  <c r="BH83" i="9"/>
  <c r="BK29" i="5" s="1"/>
  <c r="BG83" i="9"/>
  <c r="BJ29" i="5" s="1"/>
  <c r="BF83" i="9"/>
  <c r="BD83" i="9"/>
  <c r="BC83" i="9"/>
  <c r="BB83" i="9"/>
  <c r="BA83" i="9"/>
  <c r="AZ83" i="9"/>
  <c r="AY83" i="9"/>
  <c r="AX83" i="9"/>
  <c r="AW83" i="9"/>
  <c r="AV83" i="9"/>
  <c r="AU83" i="9"/>
  <c r="AT83" i="9"/>
  <c r="AS83" i="9"/>
  <c r="AP83" i="9"/>
  <c r="AO83" i="9"/>
  <c r="AN83" i="9"/>
  <c r="AM83" i="9"/>
  <c r="AL83" i="9"/>
  <c r="AK83" i="9"/>
  <c r="AJ83" i="9"/>
  <c r="AI83" i="9"/>
  <c r="AH83" i="9"/>
  <c r="AG83" i="9"/>
  <c r="AF83" i="9"/>
  <c r="AE83" i="9"/>
  <c r="CB74" i="9"/>
  <c r="BZ74" i="9"/>
  <c r="BY74" i="9"/>
  <c r="BX74" i="9"/>
  <c r="BW74" i="9"/>
  <c r="BV74" i="9"/>
  <c r="BU74" i="9"/>
  <c r="BR74" i="9"/>
  <c r="BQ74" i="9"/>
  <c r="BP74" i="9"/>
  <c r="BO74" i="9"/>
  <c r="BN74" i="9"/>
  <c r="BM74" i="9"/>
  <c r="BL74" i="9"/>
  <c r="BK74" i="9"/>
  <c r="BJ74" i="9"/>
  <c r="BI74" i="9"/>
  <c r="BH74" i="9"/>
  <c r="BK30" i="5" s="1"/>
  <c r="BG74" i="9"/>
  <c r="BJ30" i="5" s="1"/>
  <c r="BF74" i="9"/>
  <c r="BD74" i="9"/>
  <c r="BC74" i="9"/>
  <c r="BB74" i="9"/>
  <c r="BA74" i="9"/>
  <c r="AZ74" i="9"/>
  <c r="AY74" i="9"/>
  <c r="AX74" i="9"/>
  <c r="AW74" i="9"/>
  <c r="AV74" i="9"/>
  <c r="AU74" i="9"/>
  <c r="AT74" i="9"/>
  <c r="AS74" i="9"/>
  <c r="E49" i="18" l="1"/>
  <c r="D49" i="18"/>
  <c r="AR83" i="9"/>
  <c r="AE74" i="9"/>
  <c r="AF74" i="9"/>
  <c r="AG74" i="9"/>
  <c r="AH74" i="9"/>
  <c r="AI74" i="9"/>
  <c r="AJ74" i="9"/>
  <c r="AK74" i="9"/>
  <c r="AL74" i="9"/>
  <c r="AM74" i="9"/>
  <c r="AN74" i="9"/>
  <c r="AO74" i="9"/>
  <c r="AP74" i="9"/>
  <c r="AF48" i="9"/>
  <c r="AG48" i="9"/>
  <c r="AH48" i="9"/>
  <c r="AI48" i="9"/>
  <c r="AK48" i="9"/>
  <c r="AL48" i="9"/>
  <c r="AN48" i="9"/>
  <c r="AO48" i="9"/>
  <c r="AP48" i="9"/>
  <c r="AJ44" i="9"/>
  <c r="CB9" i="9"/>
  <c r="BW9" i="9"/>
  <c r="BW44" i="9" s="1"/>
  <c r="BX9" i="9"/>
  <c r="BX44" i="9" s="1"/>
  <c r="BY9" i="9"/>
  <c r="BZ9" i="9"/>
  <c r="BP44" i="9"/>
  <c r="AB125" i="6" l="1"/>
  <c r="AF33" i="4" s="1"/>
  <c r="AA125" i="6"/>
  <c r="AE33" i="4" s="1"/>
  <c r="Z125" i="6"/>
  <c r="AD33" i="4" s="1"/>
  <c r="Y125" i="6"/>
  <c r="AC33" i="4" s="1"/>
  <c r="X125" i="6"/>
  <c r="AB33" i="4" s="1"/>
  <c r="R118" i="6"/>
  <c r="S118" i="6"/>
  <c r="T118" i="6"/>
  <c r="V118" i="6"/>
  <c r="W118" i="6"/>
  <c r="X118" i="6"/>
  <c r="Y118" i="6"/>
  <c r="Z118" i="6"/>
  <c r="AA118" i="6"/>
  <c r="AB118" i="6"/>
  <c r="Q118" i="6"/>
  <c r="BK108" i="6"/>
  <c r="BI108" i="6"/>
  <c r="BH108" i="6"/>
  <c r="BG108" i="6"/>
  <c r="BF108" i="6"/>
  <c r="BE108" i="6"/>
  <c r="BD108" i="6"/>
  <c r="BK112" i="6"/>
  <c r="BI112" i="6"/>
  <c r="BH112" i="6"/>
  <c r="BG112" i="6"/>
  <c r="BF112" i="6"/>
  <c r="BE112" i="6"/>
  <c r="BD112" i="6"/>
  <c r="J49" i="18" s="1"/>
  <c r="BB112" i="6"/>
  <c r="BA112" i="6"/>
  <c r="AZ112" i="6"/>
  <c r="AY112" i="6"/>
  <c r="AX112" i="6"/>
  <c r="AW112" i="6"/>
  <c r="AV112" i="6"/>
  <c r="AU112" i="6"/>
  <c r="AT112" i="6"/>
  <c r="AS112" i="6"/>
  <c r="AR112" i="6"/>
  <c r="AQ112" i="6"/>
  <c r="I49" i="18" s="1"/>
  <c r="BB108" i="6"/>
  <c r="BA108" i="6"/>
  <c r="AZ108" i="6"/>
  <c r="AY108" i="6"/>
  <c r="AX108" i="6"/>
  <c r="AW108" i="6"/>
  <c r="AV108" i="6"/>
  <c r="AU108" i="6"/>
  <c r="AT108" i="6"/>
  <c r="AS108" i="6"/>
  <c r="AR108" i="6"/>
  <c r="AQ108" i="6"/>
  <c r="AO108" i="6"/>
  <c r="AN108" i="6"/>
  <c r="AM108" i="6"/>
  <c r="AL108" i="6"/>
  <c r="AK108" i="6"/>
  <c r="AJ108" i="6"/>
  <c r="AI108" i="6"/>
  <c r="AH108" i="6"/>
  <c r="AG108" i="6"/>
  <c r="AF108" i="6"/>
  <c r="AE108" i="6"/>
  <c r="AO112" i="6"/>
  <c r="AN112" i="6"/>
  <c r="AM112" i="6"/>
  <c r="AL112" i="6"/>
  <c r="AK112" i="6"/>
  <c r="AJ112" i="6"/>
  <c r="AI112" i="6"/>
  <c r="AH112" i="6"/>
  <c r="AG112" i="6"/>
  <c r="AF112" i="6"/>
  <c r="AE112" i="6"/>
  <c r="R112" i="6"/>
  <c r="S112" i="6"/>
  <c r="V112" i="6"/>
  <c r="W112" i="6"/>
  <c r="Y112" i="6"/>
  <c r="Z112" i="6"/>
  <c r="AA112" i="6"/>
  <c r="Q112" i="6"/>
  <c r="G54" i="18" l="1"/>
  <c r="F54" i="18"/>
  <c r="AK107" i="6"/>
  <c r="AT107" i="6"/>
  <c r="BB107" i="6"/>
  <c r="AL107" i="6"/>
  <c r="AU107" i="6"/>
  <c r="AV107" i="6"/>
  <c r="G49" i="18"/>
  <c r="F49" i="18"/>
  <c r="BK107" i="6"/>
  <c r="AE107" i="6"/>
  <c r="AW107" i="6"/>
  <c r="BI107" i="6"/>
  <c r="AM107" i="6"/>
  <c r="BD107" i="6"/>
  <c r="AX107" i="6"/>
  <c r="AH107" i="6"/>
  <c r="AQ107" i="6"/>
  <c r="AY107" i="6"/>
  <c r="BE107" i="6"/>
  <c r="BH107" i="6"/>
  <c r="AF107" i="6"/>
  <c r="AO107" i="6"/>
  <c r="AI107" i="6"/>
  <c r="AR107" i="6"/>
  <c r="AZ107" i="6"/>
  <c r="BF107" i="6"/>
  <c r="AN107" i="6"/>
  <c r="AG107" i="6"/>
  <c r="AJ107" i="6"/>
  <c r="AS107" i="6"/>
  <c r="BA107" i="6"/>
  <c r="BG107" i="6"/>
  <c r="BK103" i="6" l="1"/>
  <c r="BI103" i="6"/>
  <c r="BH103" i="6"/>
  <c r="BG103" i="6"/>
  <c r="BF103" i="6"/>
  <c r="BE103" i="6"/>
  <c r="BD103" i="6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O103" i="6"/>
  <c r="AN103" i="6"/>
  <c r="AM103" i="6"/>
  <c r="AL103" i="6"/>
  <c r="AK103" i="6"/>
  <c r="AJ103" i="6"/>
  <c r="AI103" i="6"/>
  <c r="AH103" i="6"/>
  <c r="AG103" i="6"/>
  <c r="AF103" i="6"/>
  <c r="AE103" i="6"/>
  <c r="AD103" i="6"/>
  <c r="R103" i="6"/>
  <c r="S103" i="6"/>
  <c r="T103" i="6"/>
  <c r="U103" i="6"/>
  <c r="V103" i="6"/>
  <c r="W103" i="6"/>
  <c r="X103" i="6"/>
  <c r="Y103" i="6"/>
  <c r="Z103" i="6"/>
  <c r="AA103" i="6"/>
  <c r="AB103" i="6"/>
  <c r="BK99" i="6"/>
  <c r="BI99" i="6"/>
  <c r="BH99" i="6"/>
  <c r="BG99" i="6"/>
  <c r="BF99" i="6"/>
  <c r="BE99" i="6"/>
  <c r="BD99" i="6"/>
  <c r="BB99" i="6"/>
  <c r="BA99" i="6"/>
  <c r="AZ99" i="6"/>
  <c r="AY99" i="6"/>
  <c r="AX99" i="6"/>
  <c r="AW99" i="6"/>
  <c r="AV99" i="6"/>
  <c r="AU99" i="6"/>
  <c r="AT99" i="6"/>
  <c r="AS99" i="6"/>
  <c r="AR99" i="6"/>
  <c r="AO99" i="6"/>
  <c r="AN99" i="6"/>
  <c r="AM99" i="6"/>
  <c r="AL99" i="6"/>
  <c r="AK99" i="6"/>
  <c r="AJ99" i="6"/>
  <c r="AI99" i="6"/>
  <c r="AH99" i="6"/>
  <c r="AG99" i="6"/>
  <c r="AF99" i="6"/>
  <c r="AE99" i="6"/>
  <c r="R99" i="6"/>
  <c r="S99" i="6"/>
  <c r="T99" i="6"/>
  <c r="U99" i="6"/>
  <c r="V99" i="6"/>
  <c r="W99" i="6"/>
  <c r="X99" i="6"/>
  <c r="Y99" i="6"/>
  <c r="Z99" i="6"/>
  <c r="AA99" i="6"/>
  <c r="AB99" i="6"/>
  <c r="Q103" i="6"/>
  <c r="Q99" i="6"/>
  <c r="Q95" i="6"/>
  <c r="BK65" i="6"/>
  <c r="BI65" i="6"/>
  <c r="BH65" i="6"/>
  <c r="BG65" i="6"/>
  <c r="BF65" i="6"/>
  <c r="BE65" i="6"/>
  <c r="BD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O65" i="6"/>
  <c r="AN65" i="6"/>
  <c r="AM65" i="6"/>
  <c r="AL65" i="6"/>
  <c r="AK65" i="6"/>
  <c r="AJ65" i="6"/>
  <c r="AI65" i="6"/>
  <c r="AH65" i="6"/>
  <c r="AG65" i="6"/>
  <c r="AF65" i="6"/>
  <c r="AE65" i="6"/>
  <c r="R65" i="6"/>
  <c r="S65" i="6"/>
  <c r="T65" i="6"/>
  <c r="U65" i="6"/>
  <c r="V65" i="6"/>
  <c r="W65" i="6"/>
  <c r="X65" i="6"/>
  <c r="Y65" i="6"/>
  <c r="Z65" i="6"/>
  <c r="AA65" i="6"/>
  <c r="AB65" i="6"/>
  <c r="BK62" i="6"/>
  <c r="BI62" i="6"/>
  <c r="BH62" i="6"/>
  <c r="BG62" i="6"/>
  <c r="BF62" i="6"/>
  <c r="BE62" i="6"/>
  <c r="BD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O62" i="6"/>
  <c r="AN62" i="6"/>
  <c r="AM62" i="6"/>
  <c r="AL62" i="6"/>
  <c r="AK62" i="6"/>
  <c r="AJ62" i="6"/>
  <c r="AI62" i="6"/>
  <c r="AH62" i="6"/>
  <c r="AG62" i="6"/>
  <c r="AF62" i="6"/>
  <c r="AE62" i="6"/>
  <c r="R62" i="6"/>
  <c r="S62" i="6"/>
  <c r="T62" i="6"/>
  <c r="U62" i="6"/>
  <c r="V62" i="6"/>
  <c r="W62" i="6"/>
  <c r="BK15" i="6"/>
  <c r="BI15" i="6"/>
  <c r="BH15" i="6"/>
  <c r="BG15" i="6"/>
  <c r="BF15" i="6"/>
  <c r="BE15" i="6"/>
  <c r="BD15" i="6"/>
  <c r="J16" i="18" s="1"/>
  <c r="J21" i="18" s="1"/>
  <c r="BK47" i="6"/>
  <c r="BI47" i="6"/>
  <c r="BH47" i="6"/>
  <c r="BG47" i="6"/>
  <c r="BF47" i="6"/>
  <c r="BE47" i="6"/>
  <c r="BD47" i="6"/>
  <c r="BB47" i="6"/>
  <c r="BA47" i="6"/>
  <c r="AZ47" i="6"/>
  <c r="AY47" i="6"/>
  <c r="AX47" i="6"/>
  <c r="AW47" i="6"/>
  <c r="AV47" i="6"/>
  <c r="AU47" i="6"/>
  <c r="AT47" i="6"/>
  <c r="AS47" i="6"/>
  <c r="AR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D14" i="6" s="1"/>
  <c r="R47" i="6"/>
  <c r="R14" i="6" s="1"/>
  <c r="S47" i="6"/>
  <c r="S14" i="6" s="1"/>
  <c r="T47" i="6"/>
  <c r="U47" i="6"/>
  <c r="V47" i="6"/>
  <c r="W47" i="6"/>
  <c r="W14" i="6" s="1"/>
  <c r="X47" i="6"/>
  <c r="X14" i="6" s="1"/>
  <c r="Y47" i="6"/>
  <c r="Y14" i="6" s="1"/>
  <c r="Z47" i="6"/>
  <c r="Z14" i="6" s="1"/>
  <c r="AA47" i="6"/>
  <c r="AA14" i="6" s="1"/>
  <c r="AB47" i="6"/>
  <c r="AB14" i="6" s="1"/>
  <c r="AF11" i="4" s="1"/>
  <c r="Q14" i="6"/>
  <c r="AA98" i="6" l="1"/>
  <c r="S98" i="6"/>
  <c r="BK14" i="6"/>
  <c r="J43" i="18"/>
  <c r="AH11" i="4"/>
  <c r="BD14" i="6"/>
  <c r="BH11" i="4" s="1"/>
  <c r="X98" i="6"/>
  <c r="AE98" i="6"/>
  <c r="AW98" i="6"/>
  <c r="BF98" i="6"/>
  <c r="W98" i="6"/>
  <c r="AF98" i="6"/>
  <c r="AN98" i="6"/>
  <c r="BB98" i="6"/>
  <c r="AJ98" i="6"/>
  <c r="Y98" i="6"/>
  <c r="AD98" i="6"/>
  <c r="H47" i="18" s="1"/>
  <c r="AL98" i="6"/>
  <c r="AV98" i="6"/>
  <c r="BE98" i="6"/>
  <c r="AT98" i="6"/>
  <c r="BG98" i="6"/>
  <c r="AM98" i="6"/>
  <c r="AX98" i="6"/>
  <c r="Q98" i="6"/>
  <c r="V98" i="6"/>
  <c r="AG98" i="6"/>
  <c r="AO98" i="6"/>
  <c r="AY98" i="6"/>
  <c r="BH98" i="6"/>
  <c r="AE61" i="6"/>
  <c r="AM61" i="6"/>
  <c r="AV61" i="6"/>
  <c r="BE61" i="6"/>
  <c r="AB98" i="6"/>
  <c r="T98" i="6"/>
  <c r="AI98" i="6"/>
  <c r="AS98" i="6"/>
  <c r="BA98" i="6"/>
  <c r="BK98" i="6"/>
  <c r="U98" i="6"/>
  <c r="AH98" i="6"/>
  <c r="AR98" i="6"/>
  <c r="AZ98" i="6"/>
  <c r="BI98" i="6"/>
  <c r="Z98" i="6"/>
  <c r="R98" i="6"/>
  <c r="AK98" i="6"/>
  <c r="AU98" i="6"/>
  <c r="BD98" i="6"/>
  <c r="J47" i="18" s="1"/>
  <c r="AQ98" i="6"/>
  <c r="I47" i="18" s="1"/>
  <c r="V61" i="6"/>
  <c r="AH61" i="6"/>
  <c r="BB61" i="6"/>
  <c r="R61" i="6"/>
  <c r="AL61" i="6"/>
  <c r="AU61" i="6"/>
  <c r="BD61" i="6"/>
  <c r="BI61" i="6"/>
  <c r="W61" i="6"/>
  <c r="BG61" i="6"/>
  <c r="AN61" i="6"/>
  <c r="AK61" i="6"/>
  <c r="U11" i="4"/>
  <c r="Q61" i="6"/>
  <c r="Q75" i="6" s="1"/>
  <c r="T61" i="6"/>
  <c r="AS61" i="6"/>
  <c r="BA61" i="6"/>
  <c r="BK61" i="6"/>
  <c r="S61" i="6"/>
  <c r="AT61" i="6"/>
  <c r="AW61" i="6"/>
  <c r="AF61" i="6"/>
  <c r="BF61" i="6"/>
  <c r="AG61" i="6"/>
  <c r="AO61" i="6"/>
  <c r="AX61" i="6"/>
  <c r="BH61" i="6"/>
  <c r="AQ61" i="6"/>
  <c r="AY61" i="6"/>
  <c r="AR61" i="6"/>
  <c r="AZ61" i="6"/>
  <c r="AI61" i="6"/>
  <c r="AJ61" i="6"/>
  <c r="U61" i="6"/>
  <c r="G47" i="18" l="1"/>
  <c r="F47" i="18"/>
  <c r="V15" i="4"/>
  <c r="D23" i="14"/>
  <c r="C23" i="14"/>
  <c r="E20" i="14"/>
  <c r="E21" i="14"/>
  <c r="E22" i="14"/>
  <c r="E19" i="14"/>
  <c r="C15" i="14"/>
  <c r="C7" i="14"/>
  <c r="D5" i="14"/>
  <c r="E5" i="14" s="1"/>
  <c r="D6" i="14"/>
  <c r="E6" i="14" s="1"/>
  <c r="D4" i="14"/>
  <c r="AF44" i="9"/>
  <c r="AI20" i="5" s="1"/>
  <c r="AG44" i="9"/>
  <c r="AJ20" i="5" s="1"/>
  <c r="E23" i="14" l="1"/>
  <c r="D7" i="14"/>
  <c r="AE44" i="9"/>
  <c r="AH20" i="5" s="1"/>
  <c r="AH17" i="5"/>
  <c r="AH15" i="5" s="1"/>
  <c r="AH44" i="9"/>
  <c r="AK20" i="5" s="1"/>
  <c r="AK23" i="5" s="1"/>
  <c r="AK17" i="5"/>
  <c r="AK15" i="5" s="1"/>
  <c r="E4" i="14"/>
  <c r="E7" i="14" s="1"/>
  <c r="AE78" i="9"/>
  <c r="AF78" i="9"/>
  <c r="AD159" i="9"/>
  <c r="AB156" i="9" s="1"/>
  <c r="AD160" i="9"/>
  <c r="AD161" i="9"/>
  <c r="AD162" i="9"/>
  <c r="AD163" i="9"/>
  <c r="AD158" i="9"/>
  <c r="AD138" i="9"/>
  <c r="AD139" i="9"/>
  <c r="AB139" i="9" s="1"/>
  <c r="AD140" i="9"/>
  <c r="AB140" i="9" s="1"/>
  <c r="AA140" i="9" s="1"/>
  <c r="AD141" i="9"/>
  <c r="AB141" i="9" s="1"/>
  <c r="AA141" i="9" s="1"/>
  <c r="P141" i="9" s="1"/>
  <c r="AD142" i="9"/>
  <c r="AB142" i="9" s="1"/>
  <c r="AA142" i="9" s="1"/>
  <c r="AD143" i="9"/>
  <c r="AB143" i="9" s="1"/>
  <c r="AA143" i="9" s="1"/>
  <c r="AD144" i="9"/>
  <c r="AB144" i="9" s="1"/>
  <c r="AA144" i="9" s="1"/>
  <c r="AD145" i="9"/>
  <c r="AB145" i="9" s="1"/>
  <c r="AA145" i="9" s="1"/>
  <c r="AD146" i="9"/>
  <c r="AB146" i="9" s="1"/>
  <c r="AA146" i="9" s="1"/>
  <c r="AD137" i="9"/>
  <c r="AD116" i="9"/>
  <c r="AD97" i="9"/>
  <c r="AD96" i="9"/>
  <c r="AD94" i="9"/>
  <c r="AD101" i="9"/>
  <c r="AD79" i="9"/>
  <c r="AD78" i="9" s="1"/>
  <c r="AD75" i="9"/>
  <c r="AD74" i="9" s="1"/>
  <c r="AD50" i="9"/>
  <c r="AB50" i="9" s="1"/>
  <c r="AA50" i="9" s="1"/>
  <c r="Z50" i="9" s="1"/>
  <c r="Y50" i="9" s="1"/>
  <c r="AD51" i="9"/>
  <c r="AD52" i="9"/>
  <c r="AB52" i="9" s="1"/>
  <c r="P52" i="9" s="1"/>
  <c r="AD53" i="9"/>
  <c r="AD54" i="9"/>
  <c r="AD55" i="9"/>
  <c r="AD56" i="9"/>
  <c r="AD57" i="9"/>
  <c r="AD61" i="9"/>
  <c r="AD62" i="9"/>
  <c r="AB62" i="9" s="1"/>
  <c r="AA62" i="9" s="1"/>
  <c r="AD64" i="9"/>
  <c r="AD49" i="9"/>
  <c r="U42" i="4"/>
  <c r="U40" i="4"/>
  <c r="AG37" i="5"/>
  <c r="AG14" i="5"/>
  <c r="AE14" i="5" s="1"/>
  <c r="AD14" i="5" s="1"/>
  <c r="AC14" i="5" s="1"/>
  <c r="AB14" i="5" s="1"/>
  <c r="AA14" i="5" s="1"/>
  <c r="Z14" i="5" s="1"/>
  <c r="Y14" i="5" s="1"/>
  <c r="X14" i="5" s="1"/>
  <c r="W14" i="5" s="1"/>
  <c r="V14" i="5" s="1"/>
  <c r="U14" i="5" s="1"/>
  <c r="AG16" i="5"/>
  <c r="AE16" i="5" s="1"/>
  <c r="AD16" i="5" s="1"/>
  <c r="AC16" i="5" s="1"/>
  <c r="AB16" i="5" s="1"/>
  <c r="AA16" i="5" s="1"/>
  <c r="Z16" i="5" s="1"/>
  <c r="Y16" i="5" s="1"/>
  <c r="X16" i="5" s="1"/>
  <c r="W16" i="5" s="1"/>
  <c r="V16" i="5" s="1"/>
  <c r="U16" i="5" s="1"/>
  <c r="AH38" i="5"/>
  <c r="AH36" i="5"/>
  <c r="AH35" i="5"/>
  <c r="AH34" i="5"/>
  <c r="AH32" i="5"/>
  <c r="AH30" i="5"/>
  <c r="AH29" i="5"/>
  <c r="AE91" i="9"/>
  <c r="AE48" i="9"/>
  <c r="Q125" i="6"/>
  <c r="U29" i="4"/>
  <c r="U27" i="4"/>
  <c r="U15" i="4"/>
  <c r="Q58" i="6"/>
  <c r="U10" i="4"/>
  <c r="V27" i="4"/>
  <c r="AF91" i="9"/>
  <c r="V42" i="4"/>
  <c r="V40" i="4"/>
  <c r="AI38" i="5"/>
  <c r="AI36" i="5"/>
  <c r="AI35" i="5"/>
  <c r="AI34" i="5"/>
  <c r="AI32" i="5"/>
  <c r="AI30" i="5"/>
  <c r="AI29" i="5"/>
  <c r="AI15" i="5"/>
  <c r="R125" i="6"/>
  <c r="V33" i="4" s="1"/>
  <c r="V29" i="4"/>
  <c r="R95" i="6"/>
  <c r="R79" i="6"/>
  <c r="V26" i="4" s="1"/>
  <c r="V17" i="4"/>
  <c r="R58" i="6"/>
  <c r="V11" i="4"/>
  <c r="R10" i="6"/>
  <c r="R75" i="6" s="1"/>
  <c r="AD117" i="9"/>
  <c r="AD115" i="9"/>
  <c r="AD95" i="9"/>
  <c r="F20" i="11"/>
  <c r="E14" i="11"/>
  <c r="C12" i="11"/>
  <c r="C9" i="11"/>
  <c r="D32" i="13"/>
  <c r="D26" i="13"/>
  <c r="CB169" i="9"/>
  <c r="CE43" i="5" s="1"/>
  <c r="BZ169" i="9"/>
  <c r="BY169" i="9"/>
  <c r="BR169" i="9"/>
  <c r="BQ169" i="9"/>
  <c r="CB156" i="9"/>
  <c r="CE42" i="5" s="1"/>
  <c r="BZ156" i="9"/>
  <c r="CC42" i="5" s="1"/>
  <c r="CC40" i="5" s="1"/>
  <c r="BY156" i="9"/>
  <c r="CB42" i="5" s="1"/>
  <c r="CB40" i="5" s="1"/>
  <c r="BX156" i="9"/>
  <c r="BX171" i="9" s="1"/>
  <c r="BW156" i="9"/>
  <c r="BW171" i="9" s="1"/>
  <c r="BV156" i="9"/>
  <c r="BU156" i="9"/>
  <c r="BU171" i="9" s="1"/>
  <c r="BT156" i="9"/>
  <c r="BT171" i="9" s="1"/>
  <c r="BR156" i="9"/>
  <c r="BU42" i="5" s="1"/>
  <c r="BU40" i="5" s="1"/>
  <c r="BQ156" i="9"/>
  <c r="BT42" i="5" s="1"/>
  <c r="BT40" i="5" s="1"/>
  <c r="BP156" i="9"/>
  <c r="BP171" i="9" s="1"/>
  <c r="BO156" i="9"/>
  <c r="BO171" i="9" s="1"/>
  <c r="BN156" i="9"/>
  <c r="BN171" i="9" s="1"/>
  <c r="BM156" i="9"/>
  <c r="BL156" i="9"/>
  <c r="BL171" i="9" s="1"/>
  <c r="BK156" i="9"/>
  <c r="BK171" i="9" s="1"/>
  <c r="BJ156" i="9"/>
  <c r="BJ171" i="9" s="1"/>
  <c r="BI156" i="9"/>
  <c r="BH156" i="9"/>
  <c r="BG156" i="9"/>
  <c r="BF156" i="9"/>
  <c r="BF171" i="9" s="1"/>
  <c r="BD156" i="9"/>
  <c r="BD171" i="9" s="1"/>
  <c r="BC156" i="9"/>
  <c r="BC171" i="9" s="1"/>
  <c r="BB156" i="9"/>
  <c r="BB171" i="9" s="1"/>
  <c r="BA156" i="9"/>
  <c r="AZ156" i="9"/>
  <c r="AY156" i="9"/>
  <c r="AY171" i="9" s="1"/>
  <c r="AX156" i="9"/>
  <c r="AX171" i="9" s="1"/>
  <c r="AW156" i="9"/>
  <c r="AV156" i="9"/>
  <c r="AU156" i="9"/>
  <c r="AU171" i="9" s="1"/>
  <c r="AT156" i="9"/>
  <c r="AT171" i="9" s="1"/>
  <c r="AS156" i="9"/>
  <c r="AP156" i="9"/>
  <c r="AP171" i="9" s="1"/>
  <c r="AO42" i="5"/>
  <c r="AO40" i="5" s="1"/>
  <c r="AR161" i="9"/>
  <c r="AR160" i="9"/>
  <c r="AR158" i="9"/>
  <c r="AD157" i="9"/>
  <c r="CB134" i="9"/>
  <c r="BZ134" i="9"/>
  <c r="BY134" i="9"/>
  <c r="BX134" i="9"/>
  <c r="BW134" i="9"/>
  <c r="BV134" i="9"/>
  <c r="BU134" i="9"/>
  <c r="BR134" i="9"/>
  <c r="BQ134" i="9"/>
  <c r="BP134" i="9"/>
  <c r="BO134" i="9"/>
  <c r="BN134" i="9"/>
  <c r="BM134" i="9"/>
  <c r="BL134" i="9"/>
  <c r="BK134" i="9"/>
  <c r="BJ134" i="9"/>
  <c r="BI134" i="9"/>
  <c r="BH134" i="9"/>
  <c r="BG134" i="9"/>
  <c r="BF134" i="9"/>
  <c r="BD134" i="9"/>
  <c r="BC134" i="9"/>
  <c r="BB134" i="9"/>
  <c r="BA134" i="9"/>
  <c r="AZ134" i="9"/>
  <c r="AY134" i="9"/>
  <c r="AX134" i="9"/>
  <c r="AW134" i="9"/>
  <c r="AZ38" i="5" s="1"/>
  <c r="AV134" i="9"/>
  <c r="AU134" i="9"/>
  <c r="AT134" i="9"/>
  <c r="AS134" i="9"/>
  <c r="AP134" i="9"/>
  <c r="AO134" i="9"/>
  <c r="AN134" i="9"/>
  <c r="AP38" i="5"/>
  <c r="AL134" i="9"/>
  <c r="AN38" i="5"/>
  <c r="AM38" i="5"/>
  <c r="BT150" i="9"/>
  <c r="BF150" i="9"/>
  <c r="BT149" i="9"/>
  <c r="BF149" i="9"/>
  <c r="BT148" i="9"/>
  <c r="BF148" i="9"/>
  <c r="BD148" i="9" s="1"/>
  <c r="BB148" i="9" s="1"/>
  <c r="BT147" i="9"/>
  <c r="BF147" i="9"/>
  <c r="BC147" i="9" s="1"/>
  <c r="BT146" i="9"/>
  <c r="AR146" i="9"/>
  <c r="BT145" i="9"/>
  <c r="BT144" i="9"/>
  <c r="BT143" i="9"/>
  <c r="BT142" i="9"/>
  <c r="BT141" i="9"/>
  <c r="AR140" i="9"/>
  <c r="BT139" i="9"/>
  <c r="BT138" i="9"/>
  <c r="AR138" i="9"/>
  <c r="BT137" i="9"/>
  <c r="AR137" i="9"/>
  <c r="BT136" i="9"/>
  <c r="BF136" i="9"/>
  <c r="BT135" i="9"/>
  <c r="BF135" i="9"/>
  <c r="CE37" i="5"/>
  <c r="CC37" i="5"/>
  <c r="CB37" i="5"/>
  <c r="CA37" i="5"/>
  <c r="BZ37" i="5"/>
  <c r="BY37" i="5"/>
  <c r="BT132" i="9"/>
  <c r="BF132" i="9"/>
  <c r="BD132" i="9"/>
  <c r="BC132" i="9"/>
  <c r="AR131" i="9"/>
  <c r="AR130" i="9"/>
  <c r="CB121" i="9"/>
  <c r="CE36" i="5" s="1"/>
  <c r="BZ121" i="9"/>
  <c r="BY121" i="9"/>
  <c r="BX121" i="9"/>
  <c r="BW121" i="9"/>
  <c r="BV121" i="9"/>
  <c r="BU121" i="9"/>
  <c r="BR121" i="9"/>
  <c r="BU36" i="5" s="1"/>
  <c r="BQ121" i="9"/>
  <c r="BT36" i="5" s="1"/>
  <c r="BP121" i="9"/>
  <c r="BS36" i="5" s="1"/>
  <c r="BO121" i="9"/>
  <c r="BR36" i="5" s="1"/>
  <c r="BN121" i="9"/>
  <c r="BQ36" i="5" s="1"/>
  <c r="BM121" i="9"/>
  <c r="BP36" i="5" s="1"/>
  <c r="BL121" i="9"/>
  <c r="BO36" i="5" s="1"/>
  <c r="BK121" i="9"/>
  <c r="BN36" i="5" s="1"/>
  <c r="BJ121" i="9"/>
  <c r="BM36" i="5" s="1"/>
  <c r="BI121" i="9"/>
  <c r="BL36" i="5" s="1"/>
  <c r="BH121" i="9"/>
  <c r="BK36" i="5" s="1"/>
  <c r="BG121" i="9"/>
  <c r="BJ36" i="5" s="1"/>
  <c r="BF121" i="9"/>
  <c r="BD121" i="9"/>
  <c r="BG36" i="5" s="1"/>
  <c r="BC121" i="9"/>
  <c r="BF36" i="5" s="1"/>
  <c r="BB121" i="9"/>
  <c r="BE36" i="5" s="1"/>
  <c r="BA121" i="9"/>
  <c r="BD36" i="5" s="1"/>
  <c r="AZ121" i="9"/>
  <c r="BC36" i="5" s="1"/>
  <c r="AY121" i="9"/>
  <c r="BB36" i="5" s="1"/>
  <c r="AX121" i="9"/>
  <c r="BA36" i="5" s="1"/>
  <c r="AW121" i="9"/>
  <c r="AZ36" i="5" s="1"/>
  <c r="AV121" i="9"/>
  <c r="AY36" i="5" s="1"/>
  <c r="AU121" i="9"/>
  <c r="AX36" i="5" s="1"/>
  <c r="AT121" i="9"/>
  <c r="AW36" i="5" s="1"/>
  <c r="AS121" i="9"/>
  <c r="AV36" i="5" s="1"/>
  <c r="BT127" i="9"/>
  <c r="BF127" i="9"/>
  <c r="BC127" i="9" s="1"/>
  <c r="BT126" i="9"/>
  <c r="BF126" i="9"/>
  <c r="BT125" i="9"/>
  <c r="BF125" i="9"/>
  <c r="BT124" i="9"/>
  <c r="BF124" i="9"/>
  <c r="BD124" i="9" s="1"/>
  <c r="BB124" i="9" s="1"/>
  <c r="BT123" i="9"/>
  <c r="AR123" i="9"/>
  <c r="BT122" i="9"/>
  <c r="BF122" i="9"/>
  <c r="BC122" i="9" s="1"/>
  <c r="CB114" i="9"/>
  <c r="CE35" i="5" s="1"/>
  <c r="BZ114" i="9"/>
  <c r="CC35" i="5" s="1"/>
  <c r="BY114" i="9"/>
  <c r="CB35" i="5" s="1"/>
  <c r="BX114" i="9"/>
  <c r="CA35" i="5" s="1"/>
  <c r="BW114" i="9"/>
  <c r="BZ35" i="5" s="1"/>
  <c r="BV114" i="9"/>
  <c r="BY35" i="5" s="1"/>
  <c r="BU114" i="9"/>
  <c r="BX35" i="5" s="1"/>
  <c r="BR114" i="9"/>
  <c r="BU35" i="5" s="1"/>
  <c r="BQ114" i="9"/>
  <c r="BT35" i="5" s="1"/>
  <c r="BP114" i="9"/>
  <c r="BS35" i="5" s="1"/>
  <c r="BO114" i="9"/>
  <c r="BR35" i="5" s="1"/>
  <c r="BN114" i="9"/>
  <c r="BQ35" i="5" s="1"/>
  <c r="BM114" i="9"/>
  <c r="BP35" i="5" s="1"/>
  <c r="BL114" i="9"/>
  <c r="BO35" i="5" s="1"/>
  <c r="BK114" i="9"/>
  <c r="BN35" i="5" s="1"/>
  <c r="BJ114" i="9"/>
  <c r="BM35" i="5" s="1"/>
  <c r="BI114" i="9"/>
  <c r="BL35" i="5" s="1"/>
  <c r="BH114" i="9"/>
  <c r="BK35" i="5" s="1"/>
  <c r="BG114" i="9"/>
  <c r="BJ35" i="5" s="1"/>
  <c r="BF114" i="9"/>
  <c r="BD114" i="9"/>
  <c r="BC114" i="9"/>
  <c r="BF35" i="5" s="1"/>
  <c r="BB114" i="9"/>
  <c r="BE35" i="5" s="1"/>
  <c r="BA114" i="9"/>
  <c r="BD35" i="5" s="1"/>
  <c r="AZ114" i="9"/>
  <c r="BC35" i="5" s="1"/>
  <c r="AY114" i="9"/>
  <c r="BB35" i="5" s="1"/>
  <c r="AX114" i="9"/>
  <c r="BA35" i="5" s="1"/>
  <c r="AW114" i="9"/>
  <c r="AZ35" i="5" s="1"/>
  <c r="AV114" i="9"/>
  <c r="AY35" i="5" s="1"/>
  <c r="AU114" i="9"/>
  <c r="AX35" i="5" s="1"/>
  <c r="AT114" i="9"/>
  <c r="AW35" i="5" s="1"/>
  <c r="AS114" i="9"/>
  <c r="AV35" i="5" s="1"/>
  <c r="AP114" i="9"/>
  <c r="AS35" i="5" s="1"/>
  <c r="AO114" i="9"/>
  <c r="AR35" i="5" s="1"/>
  <c r="AN114" i="9"/>
  <c r="AQ35" i="5" s="1"/>
  <c r="AM114" i="9"/>
  <c r="AP35" i="5" s="1"/>
  <c r="AL114" i="9"/>
  <c r="AO35" i="5" s="1"/>
  <c r="BT119" i="9"/>
  <c r="BF119" i="9"/>
  <c r="BC119" i="9" s="1"/>
  <c r="BT118" i="9"/>
  <c r="BF118" i="9"/>
  <c r="BT117" i="9"/>
  <c r="BT116" i="9"/>
  <c r="AR116" i="9"/>
  <c r="BT115" i="9"/>
  <c r="AR115" i="9"/>
  <c r="CB107" i="9"/>
  <c r="CE34" i="5" s="1"/>
  <c r="BZ107" i="9"/>
  <c r="CC34" i="5" s="1"/>
  <c r="BY107" i="9"/>
  <c r="CB34" i="5" s="1"/>
  <c r="BX107" i="9"/>
  <c r="CA34" i="5" s="1"/>
  <c r="BW107" i="9"/>
  <c r="BZ34" i="5" s="1"/>
  <c r="BV107" i="9"/>
  <c r="BY34" i="5" s="1"/>
  <c r="BU107" i="9"/>
  <c r="BX34" i="5" s="1"/>
  <c r="BR107" i="9"/>
  <c r="BU34" i="5" s="1"/>
  <c r="BQ107" i="9"/>
  <c r="BT34" i="5" s="1"/>
  <c r="BP107" i="9"/>
  <c r="BS34" i="5" s="1"/>
  <c r="BO107" i="9"/>
  <c r="BR34" i="5" s="1"/>
  <c r="BN107" i="9"/>
  <c r="BQ34" i="5" s="1"/>
  <c r="BM107" i="9"/>
  <c r="BP34" i="5" s="1"/>
  <c r="BL107" i="9"/>
  <c r="BO34" i="5" s="1"/>
  <c r="BK107" i="9"/>
  <c r="BN34" i="5" s="1"/>
  <c r="BJ107" i="9"/>
  <c r="BM34" i="5" s="1"/>
  <c r="BI107" i="9"/>
  <c r="BL34" i="5" s="1"/>
  <c r="BH107" i="9"/>
  <c r="BK34" i="5" s="1"/>
  <c r="BG107" i="9"/>
  <c r="BJ34" i="5" s="1"/>
  <c r="BF107" i="9"/>
  <c r="BI34" i="5" s="1"/>
  <c r="BD107" i="9"/>
  <c r="BG34" i="5" s="1"/>
  <c r="BC107" i="9"/>
  <c r="BF34" i="5" s="1"/>
  <c r="BB107" i="9"/>
  <c r="BE34" i="5" s="1"/>
  <c r="BA107" i="9"/>
  <c r="BD34" i="5" s="1"/>
  <c r="AZ107" i="9"/>
  <c r="BC34" i="5" s="1"/>
  <c r="AY107" i="9"/>
  <c r="BB34" i="5" s="1"/>
  <c r="AX107" i="9"/>
  <c r="BA34" i="5" s="1"/>
  <c r="AW107" i="9"/>
  <c r="AZ34" i="5" s="1"/>
  <c r="AV107" i="9"/>
  <c r="AY34" i="5" s="1"/>
  <c r="AU107" i="9"/>
  <c r="AX34" i="5" s="1"/>
  <c r="AT107" i="9"/>
  <c r="AW34" i="5" s="1"/>
  <c r="AS107" i="9"/>
  <c r="AV34" i="5" s="1"/>
  <c r="AP107" i="9"/>
  <c r="AS34" i="5" s="1"/>
  <c r="AO107" i="9"/>
  <c r="AR34" i="5" s="1"/>
  <c r="AN107" i="9"/>
  <c r="AQ34" i="5" s="1"/>
  <c r="AM107" i="9"/>
  <c r="AP34" i="5" s="1"/>
  <c r="AL107" i="9"/>
  <c r="AO34" i="5" s="1"/>
  <c r="AK107" i="9"/>
  <c r="AN34" i="5" s="1"/>
  <c r="BT112" i="9"/>
  <c r="BF112" i="9"/>
  <c r="BC112" i="9" s="1"/>
  <c r="BT111" i="9"/>
  <c r="BF111" i="9"/>
  <c r="BT110" i="9"/>
  <c r="BF110" i="9"/>
  <c r="BT109" i="9"/>
  <c r="AD109" i="9"/>
  <c r="BT108" i="9"/>
  <c r="AR108" i="9"/>
  <c r="AD108" i="9"/>
  <c r="CB91" i="9"/>
  <c r="CE33" i="5" s="1"/>
  <c r="BZ91" i="9"/>
  <c r="CC33" i="5" s="1"/>
  <c r="BY91" i="9"/>
  <c r="CB33" i="5" s="1"/>
  <c r="BX91" i="9"/>
  <c r="CA33" i="5" s="1"/>
  <c r="BW91" i="9"/>
  <c r="BZ33" i="5" s="1"/>
  <c r="BV91" i="9"/>
  <c r="BY33" i="5" s="1"/>
  <c r="BU91" i="9"/>
  <c r="BX33" i="5" s="1"/>
  <c r="BR91" i="9"/>
  <c r="BQ91" i="9"/>
  <c r="BP91" i="9"/>
  <c r="BO91" i="9"/>
  <c r="BN91" i="9"/>
  <c r="BM91" i="9"/>
  <c r="BL91" i="9"/>
  <c r="BO33" i="5" s="1"/>
  <c r="BK91" i="9"/>
  <c r="BN33" i="5" s="1"/>
  <c r="BJ91" i="9"/>
  <c r="BM33" i="5" s="1"/>
  <c r="BI91" i="9"/>
  <c r="BL33" i="5" s="1"/>
  <c r="BH91" i="9"/>
  <c r="BK33" i="5" s="1"/>
  <c r="BG91" i="9"/>
  <c r="BJ33" i="5" s="1"/>
  <c r="BD91" i="9"/>
  <c r="BG33" i="5" s="1"/>
  <c r="BC91" i="9"/>
  <c r="BF33" i="5" s="1"/>
  <c r="BB91" i="9"/>
  <c r="BE33" i="5" s="1"/>
  <c r="BA91" i="9"/>
  <c r="BD33" i="5" s="1"/>
  <c r="AZ91" i="9"/>
  <c r="BC33" i="5" s="1"/>
  <c r="AY91" i="9"/>
  <c r="BB33" i="5" s="1"/>
  <c r="AX91" i="9"/>
  <c r="BA33" i="5" s="1"/>
  <c r="AV91" i="9"/>
  <c r="AY33" i="5" s="1"/>
  <c r="AU91" i="9"/>
  <c r="AX33" i="5" s="1"/>
  <c r="AT91" i="9"/>
  <c r="AW33" i="5" s="1"/>
  <c r="AS91" i="9"/>
  <c r="AV33" i="5" s="1"/>
  <c r="AJ91" i="9"/>
  <c r="AI91" i="9"/>
  <c r="AH91" i="9"/>
  <c r="AG91" i="9"/>
  <c r="BT104" i="9"/>
  <c r="BF104" i="9"/>
  <c r="AW104" i="9" s="1"/>
  <c r="BD104" i="9"/>
  <c r="BC104" i="9"/>
  <c r="BB104" i="9"/>
  <c r="BA104" i="9"/>
  <c r="AZ104" i="9"/>
  <c r="AY104" i="9"/>
  <c r="AX104" i="9"/>
  <c r="BT103" i="9"/>
  <c r="BF103" i="9"/>
  <c r="AW103" i="9" s="1"/>
  <c r="BD103" i="9"/>
  <c r="BC103" i="9"/>
  <c r="BB103" i="9"/>
  <c r="BA103" i="9"/>
  <c r="AZ103" i="9"/>
  <c r="AY103" i="9"/>
  <c r="BT102" i="9"/>
  <c r="BF102" i="9"/>
  <c r="BD102" i="9"/>
  <c r="BC102" i="9"/>
  <c r="BB102" i="9"/>
  <c r="BA102" i="9"/>
  <c r="AZ102" i="9"/>
  <c r="AY102" i="9"/>
  <c r="BT101" i="9"/>
  <c r="BF101" i="9"/>
  <c r="BD101" i="9"/>
  <c r="BC101" i="9"/>
  <c r="BB101" i="9"/>
  <c r="BA101" i="9"/>
  <c r="AZ101" i="9"/>
  <c r="AY101" i="9"/>
  <c r="BT100" i="9"/>
  <c r="BF100" i="9"/>
  <c r="AX100" i="9" s="1"/>
  <c r="BD100" i="9"/>
  <c r="BC100" i="9"/>
  <c r="BB100" i="9"/>
  <c r="BA100" i="9"/>
  <c r="AZ100" i="9"/>
  <c r="AY100" i="9"/>
  <c r="BT99" i="9"/>
  <c r="BT97" i="9"/>
  <c r="BT96" i="9"/>
  <c r="BF96" i="9"/>
  <c r="BF91" i="9" s="1"/>
  <c r="BT95" i="9"/>
  <c r="AR95" i="9"/>
  <c r="AR91" i="9" s="1"/>
  <c r="BT94" i="9"/>
  <c r="BT93" i="9"/>
  <c r="AD93" i="9"/>
  <c r="BT92" i="9"/>
  <c r="AR92" i="9"/>
  <c r="CB86" i="9"/>
  <c r="BZ86" i="9"/>
  <c r="BY86" i="9"/>
  <c r="BX86" i="9"/>
  <c r="BW86" i="9"/>
  <c r="BV86" i="9"/>
  <c r="BV83" i="9" s="1"/>
  <c r="BU86" i="9"/>
  <c r="BR86" i="9"/>
  <c r="BQ86" i="9"/>
  <c r="BP86" i="9"/>
  <c r="BO86" i="9"/>
  <c r="BO83" i="9" s="1"/>
  <c r="BR29" i="5" s="1"/>
  <c r="BN86" i="9"/>
  <c r="BN83" i="9" s="1"/>
  <c r="BQ29" i="5" s="1"/>
  <c r="BM86" i="9"/>
  <c r="BL86" i="9"/>
  <c r="BK86" i="9"/>
  <c r="BJ86" i="9"/>
  <c r="BI86" i="9"/>
  <c r="BC86" i="9"/>
  <c r="BF32" i="5" s="1"/>
  <c r="BB86" i="9"/>
  <c r="BE32" i="5" s="1"/>
  <c r="BA86" i="9"/>
  <c r="BD32" i="5" s="1"/>
  <c r="AZ86" i="9"/>
  <c r="BC32" i="5" s="1"/>
  <c r="AY86" i="9"/>
  <c r="BB32" i="5" s="1"/>
  <c r="AX86" i="9"/>
  <c r="BA32" i="5" s="1"/>
  <c r="AW86" i="9"/>
  <c r="AZ32" i="5" s="1"/>
  <c r="AV86" i="9"/>
  <c r="AY32" i="5" s="1"/>
  <c r="AU86" i="9"/>
  <c r="AX32" i="5" s="1"/>
  <c r="AT86" i="9"/>
  <c r="AW32" i="5" s="1"/>
  <c r="AS86" i="9"/>
  <c r="AV32" i="5" s="1"/>
  <c r="AP86" i="9"/>
  <c r="AS32" i="5" s="1"/>
  <c r="AO86" i="9"/>
  <c r="AR32" i="5" s="1"/>
  <c r="AN86" i="9"/>
  <c r="AQ32" i="5" s="1"/>
  <c r="AM86" i="9"/>
  <c r="AP32" i="5" s="1"/>
  <c r="AL86" i="9"/>
  <c r="AO32" i="5" s="1"/>
  <c r="AK86" i="9"/>
  <c r="AN32" i="5" s="1"/>
  <c r="BT89" i="9"/>
  <c r="BF89" i="9"/>
  <c r="AX89" i="9" s="1"/>
  <c r="BD89" i="9"/>
  <c r="BC89" i="9"/>
  <c r="BB89" i="9"/>
  <c r="BA89" i="9"/>
  <c r="AZ89" i="9"/>
  <c r="AY89" i="9"/>
  <c r="BT88" i="9"/>
  <c r="BF88" i="9"/>
  <c r="AU88" i="9" s="1"/>
  <c r="BD88" i="9"/>
  <c r="BC88" i="9"/>
  <c r="BB88" i="9"/>
  <c r="BA88" i="9"/>
  <c r="AZ88" i="9"/>
  <c r="AY88" i="9"/>
  <c r="AX88" i="9"/>
  <c r="AW88" i="9"/>
  <c r="AV88" i="9"/>
  <c r="BT87" i="9"/>
  <c r="BF87" i="9"/>
  <c r="BD87" i="9"/>
  <c r="AR87" i="9" s="1"/>
  <c r="AD87" i="9"/>
  <c r="BG29" i="5"/>
  <c r="BC29" i="5"/>
  <c r="BB29" i="5"/>
  <c r="BA29" i="5"/>
  <c r="AS29" i="5"/>
  <c r="AO29" i="5"/>
  <c r="AM29" i="5"/>
  <c r="CB78" i="9"/>
  <c r="CE31" i="5" s="1"/>
  <c r="BZ78" i="9"/>
  <c r="BY78" i="9"/>
  <c r="BX78" i="9"/>
  <c r="BW78" i="9"/>
  <c r="BV78" i="9"/>
  <c r="BU78" i="9"/>
  <c r="BR78" i="9"/>
  <c r="BU31" i="5" s="1"/>
  <c r="BQ78" i="9"/>
  <c r="BT31" i="5" s="1"/>
  <c r="BP78" i="9"/>
  <c r="BS31" i="5" s="1"/>
  <c r="BO78" i="9"/>
  <c r="BR31" i="5" s="1"/>
  <c r="BN78" i="9"/>
  <c r="BQ31" i="5" s="1"/>
  <c r="BM78" i="9"/>
  <c r="BP31" i="5" s="1"/>
  <c r="BL78" i="9"/>
  <c r="BK78" i="9"/>
  <c r="BJ78" i="9"/>
  <c r="BI78" i="9"/>
  <c r="BH78" i="9"/>
  <c r="BG78" i="9"/>
  <c r="BF78" i="9"/>
  <c r="BD78" i="9"/>
  <c r="BC78" i="9"/>
  <c r="BB78" i="9"/>
  <c r="BA78" i="9"/>
  <c r="AZ78" i="9"/>
  <c r="AY78" i="9"/>
  <c r="BB31" i="5" s="1"/>
  <c r="AX78" i="9"/>
  <c r="AW78" i="9"/>
  <c r="AV78" i="9"/>
  <c r="AU78" i="9"/>
  <c r="AX31" i="5" s="1"/>
  <c r="AT78" i="9"/>
  <c r="AW31" i="5" s="1"/>
  <c r="AS78" i="9"/>
  <c r="AP78" i="9"/>
  <c r="AO78" i="9"/>
  <c r="AN78" i="9"/>
  <c r="AQ31" i="5" s="1"/>
  <c r="AL78" i="9"/>
  <c r="AK78" i="9"/>
  <c r="AN31" i="5" s="1"/>
  <c r="AJ78" i="9"/>
  <c r="AM31" i="5" s="1"/>
  <c r="AI78" i="9"/>
  <c r="AH78" i="9"/>
  <c r="AG78" i="9"/>
  <c r="AJ31" i="5" s="1"/>
  <c r="BT81" i="9"/>
  <c r="BF81" i="9"/>
  <c r="BD81" i="9"/>
  <c r="BC81" i="9"/>
  <c r="BB81" i="9"/>
  <c r="BA81" i="9"/>
  <c r="AZ81" i="9"/>
  <c r="AY81" i="9"/>
  <c r="BT80" i="9"/>
  <c r="BF80" i="9"/>
  <c r="BC80" i="9" s="1"/>
  <c r="BT79" i="9"/>
  <c r="AR79" i="9"/>
  <c r="CE30" i="5"/>
  <c r="BU30" i="5"/>
  <c r="BT30" i="5"/>
  <c r="BT76" i="9"/>
  <c r="BF76" i="9"/>
  <c r="AU76" i="9" s="1"/>
  <c r="BD76" i="9"/>
  <c r="BG30" i="5" s="1"/>
  <c r="BC76" i="9"/>
  <c r="BB76" i="9"/>
  <c r="BA76" i="9"/>
  <c r="BD30" i="5" s="1"/>
  <c r="AZ76" i="9"/>
  <c r="AY76" i="9"/>
  <c r="AX76" i="9"/>
  <c r="AW76" i="9"/>
  <c r="AV76" i="9"/>
  <c r="BT75" i="9"/>
  <c r="BT74" i="9" s="1"/>
  <c r="AR75" i="9"/>
  <c r="AR74" i="9" s="1"/>
  <c r="AU30" i="5" s="1"/>
  <c r="CB72" i="9"/>
  <c r="CE29" i="5" s="1"/>
  <c r="BZ72" i="9"/>
  <c r="CC29" i="5" s="1"/>
  <c r="BY72" i="9"/>
  <c r="CB29" i="5" s="1"/>
  <c r="BX72" i="9"/>
  <c r="CA29" i="5" s="1"/>
  <c r="BW72" i="9"/>
  <c r="BZ29" i="5" s="1"/>
  <c r="BV72" i="9"/>
  <c r="BY29" i="5" s="1"/>
  <c r="BU72" i="9"/>
  <c r="BX29" i="5" s="1"/>
  <c r="BR72" i="9"/>
  <c r="BQ72" i="9"/>
  <c r="BP72" i="9"/>
  <c r="BO72" i="9"/>
  <c r="BN72" i="9"/>
  <c r="BM72" i="9"/>
  <c r="BL72" i="9"/>
  <c r="BK72" i="9"/>
  <c r="BJ72" i="9"/>
  <c r="BI72" i="9"/>
  <c r="BT71" i="9"/>
  <c r="BF71" i="9"/>
  <c r="AX71" i="9" s="1"/>
  <c r="BD71" i="9"/>
  <c r="BC71" i="9"/>
  <c r="BB71" i="9"/>
  <c r="BA71" i="9"/>
  <c r="AZ71" i="9"/>
  <c r="AY71" i="9"/>
  <c r="BT70" i="9"/>
  <c r="BF70" i="9"/>
  <c r="BD70" i="9"/>
  <c r="BG32" i="5" s="1"/>
  <c r="BC70" i="9"/>
  <c r="BB70" i="9"/>
  <c r="BA70" i="9"/>
  <c r="AZ70" i="9"/>
  <c r="AY70" i="9"/>
  <c r="BT69" i="9"/>
  <c r="BF69" i="9"/>
  <c r="BD69" i="9"/>
  <c r="BC69" i="9"/>
  <c r="BB69" i="9"/>
  <c r="BA69" i="9"/>
  <c r="AZ69" i="9"/>
  <c r="AY69" i="9"/>
  <c r="AX69" i="9"/>
  <c r="AW69" i="9"/>
  <c r="AV69" i="9"/>
  <c r="CB48" i="9"/>
  <c r="CE28" i="5" s="1"/>
  <c r="BZ48" i="9"/>
  <c r="CC28" i="5" s="1"/>
  <c r="BY48" i="9"/>
  <c r="CB28" i="5" s="1"/>
  <c r="BX48" i="9"/>
  <c r="CA28" i="5" s="1"/>
  <c r="BW48" i="9"/>
  <c r="BZ28" i="5" s="1"/>
  <c r="BV48" i="9"/>
  <c r="BY28" i="5" s="1"/>
  <c r="BR48" i="9"/>
  <c r="BU28" i="5" s="1"/>
  <c r="BQ48" i="9"/>
  <c r="BT28" i="5" s="1"/>
  <c r="BP48" i="9"/>
  <c r="BS28" i="5" s="1"/>
  <c r="BO48" i="9"/>
  <c r="BR28" i="5" s="1"/>
  <c r="BN48" i="9"/>
  <c r="BQ28" i="5" s="1"/>
  <c r="BM48" i="9"/>
  <c r="BP28" i="5" s="1"/>
  <c r="BL48" i="9"/>
  <c r="BO28" i="5" s="1"/>
  <c r="BK48" i="9"/>
  <c r="BN28" i="5" s="1"/>
  <c r="BJ48" i="9"/>
  <c r="BM28" i="5" s="1"/>
  <c r="BI48" i="9"/>
  <c r="BL28" i="5" s="1"/>
  <c r="BH48" i="9"/>
  <c r="BK28" i="5" s="1"/>
  <c r="BG48" i="9"/>
  <c r="BJ28" i="5" s="1"/>
  <c r="BD48" i="9"/>
  <c r="BG28" i="5" s="1"/>
  <c r="BC48" i="9"/>
  <c r="BF28" i="5" s="1"/>
  <c r="BB48" i="9"/>
  <c r="BE28" i="5" s="1"/>
  <c r="BA48" i="9"/>
  <c r="BD28" i="5" s="1"/>
  <c r="AZ48" i="9"/>
  <c r="BC28" i="5" s="1"/>
  <c r="AY48" i="9"/>
  <c r="BB28" i="5" s="1"/>
  <c r="AX48" i="9"/>
  <c r="BA28" i="5" s="1"/>
  <c r="AW48" i="9"/>
  <c r="AZ28" i="5" s="1"/>
  <c r="AV48" i="9"/>
  <c r="AY28" i="5" s="1"/>
  <c r="AU48" i="9"/>
  <c r="AX28" i="5" s="1"/>
  <c r="AT48" i="9"/>
  <c r="AW28" i="5" s="1"/>
  <c r="AS48" i="9"/>
  <c r="AV28" i="5" s="1"/>
  <c r="AS28" i="5"/>
  <c r="AR28" i="5"/>
  <c r="AO28" i="5"/>
  <c r="AN28" i="5"/>
  <c r="AM28" i="5"/>
  <c r="AL28" i="5"/>
  <c r="AJ28" i="5"/>
  <c r="BT66" i="9"/>
  <c r="BF66" i="9"/>
  <c r="AD66" i="9"/>
  <c r="BT60" i="9"/>
  <c r="BF60" i="9"/>
  <c r="BF48" i="9" s="1"/>
  <c r="BI28" i="5" s="1"/>
  <c r="BT65" i="9"/>
  <c r="BF65" i="9"/>
  <c r="AD65" i="9"/>
  <c r="BU62" i="9"/>
  <c r="BT62" i="9" s="1"/>
  <c r="AR62" i="9"/>
  <c r="AR61" i="9"/>
  <c r="BT59" i="9"/>
  <c r="AR59" i="9"/>
  <c r="BT58" i="9"/>
  <c r="AR58" i="9"/>
  <c r="BT57" i="9"/>
  <c r="AR57" i="9"/>
  <c r="BT56" i="9"/>
  <c r="AR56" i="9"/>
  <c r="BT55" i="9"/>
  <c r="AR55" i="9"/>
  <c r="BT54" i="9"/>
  <c r="AR54" i="9"/>
  <c r="BT53" i="9"/>
  <c r="AR53" i="9"/>
  <c r="BT52" i="9"/>
  <c r="AR52" i="9"/>
  <c r="BT51" i="9"/>
  <c r="AR51" i="9"/>
  <c r="AR50" i="9"/>
  <c r="AR49" i="9"/>
  <c r="CB41" i="9"/>
  <c r="CB44" i="9" s="1"/>
  <c r="BZ41" i="9"/>
  <c r="BZ44" i="9" s="1"/>
  <c r="BY41" i="9"/>
  <c r="BY44" i="9" s="1"/>
  <c r="BU16" i="5"/>
  <c r="BU15" i="5" s="1"/>
  <c r="BQ44" i="9"/>
  <c r="BC41" i="9"/>
  <c r="BE16" i="5" s="1"/>
  <c r="BE15" i="5" s="1"/>
  <c r="BB41" i="9"/>
  <c r="BD16" i="5" s="1"/>
  <c r="BD15" i="5" s="1"/>
  <c r="BA41" i="9"/>
  <c r="BC16" i="5" s="1"/>
  <c r="BC15" i="5" s="1"/>
  <c r="AZ41" i="9"/>
  <c r="BB16" i="5" s="1"/>
  <c r="BB15" i="5" s="1"/>
  <c r="AY41" i="9"/>
  <c r="BA16" i="5" s="1"/>
  <c r="BA15" i="5" s="1"/>
  <c r="AZ16" i="5"/>
  <c r="AW41" i="9"/>
  <c r="AU41" i="9"/>
  <c r="AT41" i="9"/>
  <c r="AS41" i="9"/>
  <c r="AP44" i="9"/>
  <c r="AO44" i="9"/>
  <c r="AN44" i="9"/>
  <c r="AM44" i="9"/>
  <c r="AI44" i="9"/>
  <c r="AL20" i="5" s="1"/>
  <c r="BT42" i="9"/>
  <c r="BC42" i="9"/>
  <c r="BB42" i="9"/>
  <c r="BA42" i="9"/>
  <c r="AZ42" i="9"/>
  <c r="AY42" i="9"/>
  <c r="BV9" i="9"/>
  <c r="BV44" i="9" s="1"/>
  <c r="BU9" i="9"/>
  <c r="BU44" i="9" s="1"/>
  <c r="BO44" i="9"/>
  <c r="BN44" i="9"/>
  <c r="BM44" i="9"/>
  <c r="BL44" i="9"/>
  <c r="BK44" i="9"/>
  <c r="BJ44" i="9"/>
  <c r="BI44" i="9"/>
  <c r="BH44" i="9"/>
  <c r="BG44" i="9"/>
  <c r="AJ23" i="5"/>
  <c r="BT37" i="9"/>
  <c r="BF37" i="9"/>
  <c r="A1" i="9"/>
  <c r="BK136" i="6"/>
  <c r="BI136" i="6"/>
  <c r="BH136" i="6"/>
  <c r="BG136" i="6"/>
  <c r="BF136" i="6"/>
  <c r="BE136" i="6"/>
  <c r="A135" i="6"/>
  <c r="A134" i="6"/>
  <c r="AN133" i="6"/>
  <c r="A133" i="6"/>
  <c r="A132" i="6"/>
  <c r="A131" i="6"/>
  <c r="W125" i="6"/>
  <c r="AA33" i="4" s="1"/>
  <c r="V125" i="6"/>
  <c r="Z33" i="4" s="1"/>
  <c r="U125" i="6"/>
  <c r="Y33" i="4" s="1"/>
  <c r="T125" i="6"/>
  <c r="X33" i="4" s="1"/>
  <c r="S125" i="6"/>
  <c r="W33" i="4" s="1"/>
  <c r="BK118" i="6"/>
  <c r="BO29" i="4" s="1"/>
  <c r="BI118" i="6"/>
  <c r="BI128" i="6" s="1"/>
  <c r="BH118" i="6"/>
  <c r="BG118" i="6"/>
  <c r="BF118" i="6"/>
  <c r="BF128" i="6" s="1"/>
  <c r="BE118" i="6"/>
  <c r="BD118" i="6"/>
  <c r="BB118" i="6"/>
  <c r="BA118" i="6"/>
  <c r="AZ118" i="6"/>
  <c r="BD29" i="4" s="1"/>
  <c r="AY118" i="6"/>
  <c r="AX118" i="6"/>
  <c r="AW118" i="6"/>
  <c r="BA29" i="4" s="1"/>
  <c r="AV118" i="6"/>
  <c r="AU118" i="6"/>
  <c r="AT118" i="6"/>
  <c r="AX29" i="4" s="1"/>
  <c r="AS118" i="6"/>
  <c r="AW29" i="4" s="1"/>
  <c r="AR118" i="6"/>
  <c r="AV29" i="4" s="1"/>
  <c r="AQ118" i="6"/>
  <c r="AO118" i="6"/>
  <c r="AS29" i="4" s="1"/>
  <c r="AN118" i="6"/>
  <c r="AR29" i="4" s="1"/>
  <c r="AM118" i="6"/>
  <c r="AQ29" i="4" s="1"/>
  <c r="AL118" i="6"/>
  <c r="AP29" i="4" s="1"/>
  <c r="AK118" i="6"/>
  <c r="AO29" i="4" s="1"/>
  <c r="AJ118" i="6"/>
  <c r="AN29" i="4" s="1"/>
  <c r="AI118" i="6"/>
  <c r="AM29" i="4" s="1"/>
  <c r="AH118" i="6"/>
  <c r="AL29" i="4" s="1"/>
  <c r="AG118" i="6"/>
  <c r="AK29" i="4" s="1"/>
  <c r="AF118" i="6"/>
  <c r="AJ29" i="4" s="1"/>
  <c r="AE118" i="6"/>
  <c r="AI29" i="4" s="1"/>
  <c r="AD118" i="6"/>
  <c r="AF29" i="4"/>
  <c r="AC29" i="4"/>
  <c r="AB29" i="4"/>
  <c r="X29" i="4"/>
  <c r="W29" i="4"/>
  <c r="X112" i="6"/>
  <c r="U112" i="6"/>
  <c r="BM28" i="4"/>
  <c r="BJ28" i="4"/>
  <c r="BI28" i="4"/>
  <c r="AW28" i="4"/>
  <c r="AV28" i="4"/>
  <c r="AQ28" i="4"/>
  <c r="AN28" i="4"/>
  <c r="AM28" i="4"/>
  <c r="BM27" i="4"/>
  <c r="BI27" i="4"/>
  <c r="BH27" i="4"/>
  <c r="BF27" i="4"/>
  <c r="BD27" i="4"/>
  <c r="AZ27" i="4"/>
  <c r="AY27" i="4"/>
  <c r="AX27" i="4"/>
  <c r="AV27" i="4"/>
  <c r="AQ27" i="4"/>
  <c r="AP27" i="4"/>
  <c r="AO27" i="4"/>
  <c r="AN27" i="4"/>
  <c r="AM27" i="4"/>
  <c r="AI27" i="4"/>
  <c r="AH27" i="4"/>
  <c r="AD27" i="4"/>
  <c r="Z27" i="4"/>
  <c r="Y27" i="4"/>
  <c r="AT95" i="6"/>
  <c r="AS95" i="6"/>
  <c r="AR95" i="6"/>
  <c r="AQ95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B95" i="6"/>
  <c r="AA95" i="6"/>
  <c r="Z95" i="6"/>
  <c r="Y95" i="6"/>
  <c r="X95" i="6"/>
  <c r="W95" i="6"/>
  <c r="V95" i="6"/>
  <c r="U95" i="6"/>
  <c r="T95" i="6"/>
  <c r="S95" i="6"/>
  <c r="BK79" i="6"/>
  <c r="BD79" i="6"/>
  <c r="J46" i="18" s="1"/>
  <c r="AQ79" i="6"/>
  <c r="I46" i="18" s="1"/>
  <c r="AO79" i="6"/>
  <c r="AN79" i="6"/>
  <c r="AM79" i="6"/>
  <c r="AL79" i="6"/>
  <c r="AK79" i="6"/>
  <c r="AJ79" i="6"/>
  <c r="AN33" i="4" s="1"/>
  <c r="AN34" i="4" s="1"/>
  <c r="AI79" i="6"/>
  <c r="AH79" i="6"/>
  <c r="AG79" i="6"/>
  <c r="AF79" i="6"/>
  <c r="AE79" i="6"/>
  <c r="AB79" i="6"/>
  <c r="AF26" i="4" s="1"/>
  <c r="AA79" i="6"/>
  <c r="AE26" i="4" s="1"/>
  <c r="Z79" i="6"/>
  <c r="Y79" i="6"/>
  <c r="AC26" i="4" s="1"/>
  <c r="X79" i="6"/>
  <c r="AB26" i="4" s="1"/>
  <c r="AD80" i="6"/>
  <c r="AD79" i="6" s="1"/>
  <c r="H46" i="18" s="1"/>
  <c r="AA26" i="4"/>
  <c r="U79" i="6"/>
  <c r="Y26" i="4" s="1"/>
  <c r="T79" i="6"/>
  <c r="X26" i="4" s="1"/>
  <c r="S79" i="6"/>
  <c r="W26" i="4" s="1"/>
  <c r="BE24" i="4"/>
  <c r="BC24" i="4"/>
  <c r="BB24" i="4"/>
  <c r="BA24" i="4"/>
  <c r="AX24" i="4"/>
  <c r="BO16" i="4"/>
  <c r="AS16" i="4"/>
  <c r="AR16" i="4"/>
  <c r="AQ16" i="4"/>
  <c r="AP16" i="4"/>
  <c r="AO16" i="4"/>
  <c r="AN16" i="4"/>
  <c r="AL16" i="4"/>
  <c r="AK16" i="4"/>
  <c r="AJ16" i="4"/>
  <c r="AI16" i="4"/>
  <c r="BI15" i="4"/>
  <c r="BI17" i="4" s="1"/>
  <c r="BC15" i="4"/>
  <c r="BC17" i="4" s="1"/>
  <c r="AZ15" i="4"/>
  <c r="AZ17" i="4" s="1"/>
  <c r="AY15" i="4"/>
  <c r="AY17" i="4" s="1"/>
  <c r="AU15" i="4"/>
  <c r="AQ15" i="4"/>
  <c r="AP15" i="4"/>
  <c r="AL15" i="4"/>
  <c r="AI15" i="4"/>
  <c r="AA15" i="4"/>
  <c r="W15" i="4"/>
  <c r="AD66" i="6"/>
  <c r="AD63" i="6"/>
  <c r="H30" i="18" s="1"/>
  <c r="AB63" i="6"/>
  <c r="AA63" i="6"/>
  <c r="Z63" i="6"/>
  <c r="Y63" i="6"/>
  <c r="Y62" i="6" s="1"/>
  <c r="Y61" i="6" s="1"/>
  <c r="X63" i="6"/>
  <c r="X62" i="6" s="1"/>
  <c r="X61" i="6" s="1"/>
  <c r="BK58" i="6"/>
  <c r="BI58" i="6"/>
  <c r="BH58" i="6"/>
  <c r="BG58" i="6"/>
  <c r="BF58" i="6"/>
  <c r="BE58" i="6"/>
  <c r="BD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B58" i="6"/>
  <c r="AA58" i="6"/>
  <c r="Z58" i="6"/>
  <c r="Y58" i="6"/>
  <c r="X58" i="6"/>
  <c r="W58" i="6"/>
  <c r="V58" i="6"/>
  <c r="U58" i="6"/>
  <c r="T58" i="6"/>
  <c r="S58" i="6"/>
  <c r="BO11" i="4"/>
  <c r="BI14" i="6"/>
  <c r="BM11" i="4" s="1"/>
  <c r="BH14" i="6"/>
  <c r="BL11" i="4" s="1"/>
  <c r="BG14" i="6"/>
  <c r="BK11" i="4" s="1"/>
  <c r="BF14" i="6"/>
  <c r="BJ11" i="4" s="1"/>
  <c r="BE14" i="6"/>
  <c r="BI11" i="4" s="1"/>
  <c r="AO14" i="6"/>
  <c r="AS11" i="4" s="1"/>
  <c r="AN14" i="6"/>
  <c r="AR11" i="4" s="1"/>
  <c r="AM14" i="6"/>
  <c r="AQ11" i="4" s="1"/>
  <c r="AL14" i="6"/>
  <c r="AP11" i="4" s="1"/>
  <c r="AK14" i="6"/>
  <c r="AO11" i="4" s="1"/>
  <c r="AJ14" i="6"/>
  <c r="AN11" i="4" s="1"/>
  <c r="AI14" i="6"/>
  <c r="AM11" i="4" s="1"/>
  <c r="AH14" i="6"/>
  <c r="AL11" i="4" s="1"/>
  <c r="AG14" i="6"/>
  <c r="AK11" i="4" s="1"/>
  <c r="AF14" i="6"/>
  <c r="AJ11" i="4" s="1"/>
  <c r="AE14" i="6"/>
  <c r="AI11" i="4" s="1"/>
  <c r="V24" i="6"/>
  <c r="U24" i="6" s="1"/>
  <c r="T15" i="6"/>
  <c r="T14" i="6" s="1"/>
  <c r="BB15" i="6"/>
  <c r="BB14" i="6" s="1"/>
  <c r="BF11" i="4" s="1"/>
  <c r="BA15" i="6"/>
  <c r="BA14" i="6" s="1"/>
  <c r="BE11" i="4" s="1"/>
  <c r="AZ15" i="6"/>
  <c r="AZ14" i="6" s="1"/>
  <c r="BD11" i="4" s="1"/>
  <c r="AY15" i="6"/>
  <c r="AY14" i="6" s="1"/>
  <c r="BC11" i="4" s="1"/>
  <c r="AX15" i="6"/>
  <c r="AX14" i="6" s="1"/>
  <c r="BB11" i="4" s="1"/>
  <c r="AW15" i="6"/>
  <c r="AW14" i="6" s="1"/>
  <c r="BA11" i="4" s="1"/>
  <c r="AV15" i="6"/>
  <c r="AV14" i="6" s="1"/>
  <c r="AZ11" i="4" s="1"/>
  <c r="AU15" i="6"/>
  <c r="AU14" i="6" s="1"/>
  <c r="AY11" i="4" s="1"/>
  <c r="AT15" i="6"/>
  <c r="AT14" i="6" s="1"/>
  <c r="AX11" i="4" s="1"/>
  <c r="AS15" i="6"/>
  <c r="AS14" i="6" s="1"/>
  <c r="AW11" i="4" s="1"/>
  <c r="AR15" i="6"/>
  <c r="AR14" i="6" s="1"/>
  <c r="AV11" i="4" s="1"/>
  <c r="AQ15" i="6"/>
  <c r="I16" i="18" s="1"/>
  <c r="I21" i="18" s="1"/>
  <c r="AO15" i="6"/>
  <c r="AN15" i="6"/>
  <c r="AM15" i="6"/>
  <c r="AL15" i="6"/>
  <c r="AK15" i="6"/>
  <c r="AJ15" i="6"/>
  <c r="AI15" i="6"/>
  <c r="AH15" i="6"/>
  <c r="AG15" i="6"/>
  <c r="AF15" i="6"/>
  <c r="AE15" i="6"/>
  <c r="AE11" i="4"/>
  <c r="AD11" i="4"/>
  <c r="AC11" i="4"/>
  <c r="AB11" i="4"/>
  <c r="AA11" i="4"/>
  <c r="W11" i="4"/>
  <c r="BK10" i="6"/>
  <c r="BO10" i="4" s="1"/>
  <c r="BI10" i="6"/>
  <c r="BM10" i="4" s="1"/>
  <c r="BH10" i="6"/>
  <c r="BL10" i="4" s="1"/>
  <c r="BG10" i="6"/>
  <c r="BK10" i="4" s="1"/>
  <c r="BF10" i="6"/>
  <c r="BJ10" i="4" s="1"/>
  <c r="BE10" i="6"/>
  <c r="BI10" i="4" s="1"/>
  <c r="BD10" i="6"/>
  <c r="BB10" i="6"/>
  <c r="BF10" i="4" s="1"/>
  <c r="BA10" i="6"/>
  <c r="BE10" i="4" s="1"/>
  <c r="AZ10" i="6"/>
  <c r="BD10" i="4" s="1"/>
  <c r="AY10" i="6"/>
  <c r="BC10" i="4" s="1"/>
  <c r="AX10" i="6"/>
  <c r="BB10" i="4" s="1"/>
  <c r="AW10" i="6"/>
  <c r="BA10" i="4" s="1"/>
  <c r="AV10" i="6"/>
  <c r="AZ10" i="4" s="1"/>
  <c r="AU10" i="6"/>
  <c r="AY10" i="4" s="1"/>
  <c r="AT10" i="6"/>
  <c r="AX10" i="4" s="1"/>
  <c r="AS10" i="6"/>
  <c r="AW10" i="4" s="1"/>
  <c r="AR10" i="6"/>
  <c r="AV10" i="4" s="1"/>
  <c r="AQ10" i="6"/>
  <c r="AO10" i="6"/>
  <c r="AS10" i="4" s="1"/>
  <c r="AN10" i="6"/>
  <c r="AR10" i="4" s="1"/>
  <c r="AM10" i="6"/>
  <c r="AQ10" i="4" s="1"/>
  <c r="AL10" i="6"/>
  <c r="AK10" i="6"/>
  <c r="AO10" i="4" s="1"/>
  <c r="AJ10" i="6"/>
  <c r="AN10" i="4" s="1"/>
  <c r="AI10" i="6"/>
  <c r="AM10" i="4" s="1"/>
  <c r="AH10" i="6"/>
  <c r="AG10" i="6"/>
  <c r="AK10" i="4" s="1"/>
  <c r="AF10" i="6"/>
  <c r="AJ10" i="4" s="1"/>
  <c r="AE10" i="6"/>
  <c r="AI10" i="4" s="1"/>
  <c r="AD10" i="6"/>
  <c r="AB10" i="6"/>
  <c r="AA10" i="6"/>
  <c r="Z10" i="6"/>
  <c r="Y10" i="6"/>
  <c r="X10" i="6"/>
  <c r="W10" i="6"/>
  <c r="W75" i="6" s="1"/>
  <c r="V10" i="6"/>
  <c r="U10" i="6"/>
  <c r="T10" i="6"/>
  <c r="S10" i="6"/>
  <c r="S75" i="6" s="1"/>
  <c r="A10" i="6"/>
  <c r="A3" i="6"/>
  <c r="A2" i="6"/>
  <c r="B57" i="5"/>
  <c r="AU50" i="5"/>
  <c r="CH49" i="5"/>
  <c r="CF49" i="5"/>
  <c r="BX49" i="5"/>
  <c r="BU49" i="5"/>
  <c r="BT49" i="5"/>
  <c r="BS49" i="5"/>
  <c r="BR49" i="5"/>
  <c r="BQ49" i="5"/>
  <c r="BP49" i="5"/>
  <c r="BO49" i="5"/>
  <c r="BN49" i="5"/>
  <c r="BM49" i="5"/>
  <c r="BL49" i="5"/>
  <c r="BI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B49" i="5"/>
  <c r="AU48" i="5"/>
  <c r="AG46" i="5"/>
  <c r="CH43" i="5"/>
  <c r="CF43" i="5"/>
  <c r="AU43" i="5"/>
  <c r="CH42" i="5"/>
  <c r="CH40" i="5" s="1"/>
  <c r="CF42" i="5"/>
  <c r="CF40" i="5" s="1"/>
  <c r="AN42" i="5"/>
  <c r="AN40" i="5" s="1"/>
  <c r="I67" i="18"/>
  <c r="CH38" i="5"/>
  <c r="CF38" i="5"/>
  <c r="BI38" i="5"/>
  <c r="AL38" i="5"/>
  <c r="AK38" i="5"/>
  <c r="AJ38" i="5"/>
  <c r="CH37" i="5"/>
  <c r="CF37" i="5"/>
  <c r="BX37" i="5"/>
  <c r="BG37" i="5"/>
  <c r="AU37" i="5" s="1"/>
  <c r="CH36" i="5"/>
  <c r="CF36" i="5"/>
  <c r="CC36" i="5"/>
  <c r="CB36" i="5"/>
  <c r="CA36" i="5"/>
  <c r="BZ36" i="5"/>
  <c r="BY36" i="5"/>
  <c r="BX36" i="5"/>
  <c r="AM36" i="5"/>
  <c r="AL36" i="5"/>
  <c r="AK36" i="5"/>
  <c r="AJ36" i="5"/>
  <c r="CH35" i="5"/>
  <c r="CF35" i="5"/>
  <c r="BG35" i="5"/>
  <c r="AN35" i="5"/>
  <c r="AM35" i="5"/>
  <c r="AL35" i="5"/>
  <c r="AK35" i="5"/>
  <c r="AJ35" i="5"/>
  <c r="CH34" i="5"/>
  <c r="CF34" i="5"/>
  <c r="AM34" i="5"/>
  <c r="AL34" i="5"/>
  <c r="AK34" i="5"/>
  <c r="AJ34" i="5"/>
  <c r="CH33" i="5"/>
  <c r="CF33" i="5"/>
  <c r="BI33" i="5"/>
  <c r="CH32" i="5"/>
  <c r="CF32" i="5"/>
  <c r="AM32" i="5"/>
  <c r="AL32" i="5"/>
  <c r="AK32" i="5"/>
  <c r="AJ32" i="5"/>
  <c r="CC31" i="5"/>
  <c r="CB31" i="5"/>
  <c r="CA31" i="5"/>
  <c r="BZ31" i="5"/>
  <c r="BY31" i="5"/>
  <c r="BX31" i="5"/>
  <c r="CH30" i="5"/>
  <c r="CF30" i="5"/>
  <c r="CC30" i="5"/>
  <c r="CB30" i="5"/>
  <c r="CA30" i="5"/>
  <c r="BZ30" i="5"/>
  <c r="BY30" i="5"/>
  <c r="BX30" i="5"/>
  <c r="BS30" i="5"/>
  <c r="BR30" i="5"/>
  <c r="BQ30" i="5"/>
  <c r="BP30" i="5"/>
  <c r="BO30" i="5"/>
  <c r="BN30" i="5"/>
  <c r="BM30" i="5"/>
  <c r="BL30" i="5"/>
  <c r="AM30" i="5"/>
  <c r="AL30" i="5"/>
  <c r="AK30" i="5"/>
  <c r="AJ30" i="5"/>
  <c r="CH29" i="5"/>
  <c r="CF29" i="5"/>
  <c r="AX29" i="5"/>
  <c r="AW29" i="5"/>
  <c r="AN29" i="5"/>
  <c r="CH28" i="5"/>
  <c r="CH26" i="5" s="1"/>
  <c r="CF28" i="5"/>
  <c r="CF26" i="5" s="1"/>
  <c r="AQ28" i="5"/>
  <c r="AP28" i="5"/>
  <c r="AK28" i="5"/>
  <c r="AU25" i="5"/>
  <c r="AU24" i="5"/>
  <c r="AU22" i="5"/>
  <c r="AU21" i="5"/>
  <c r="AU19" i="5"/>
  <c r="CE18" i="5"/>
  <c r="AU18" i="5"/>
  <c r="AG18" i="5"/>
  <c r="O18" i="5" s="1"/>
  <c r="CH16" i="5"/>
  <c r="CH15" i="5" s="1"/>
  <c r="CF16" i="5"/>
  <c r="CF15" i="5" s="1"/>
  <c r="CA16" i="5"/>
  <c r="CA15" i="5" s="1"/>
  <c r="BZ16" i="5"/>
  <c r="BZ15" i="5" s="1"/>
  <c r="BY16" i="5"/>
  <c r="BY15" i="5" s="1"/>
  <c r="BX16" i="5"/>
  <c r="BX15" i="5" s="1"/>
  <c r="BS16" i="5"/>
  <c r="BS15" i="5" s="1"/>
  <c r="BR16" i="5"/>
  <c r="BR15" i="5" s="1"/>
  <c r="BQ16" i="5"/>
  <c r="BQ15" i="5" s="1"/>
  <c r="BP16" i="5"/>
  <c r="BP15" i="5" s="1"/>
  <c r="BO16" i="5"/>
  <c r="BO15" i="5" s="1"/>
  <c r="BN16" i="5"/>
  <c r="BN15" i="5" s="1"/>
  <c r="BM16" i="5"/>
  <c r="BM15" i="5" s="1"/>
  <c r="BL16" i="5"/>
  <c r="BL15" i="5" s="1"/>
  <c r="BG16" i="5"/>
  <c r="BG15" i="5" s="1"/>
  <c r="AY15" i="5"/>
  <c r="AX15" i="5"/>
  <c r="AW15" i="5"/>
  <c r="AV15" i="5"/>
  <c r="AS15" i="5"/>
  <c r="AR15" i="5"/>
  <c r="AR20" i="5" s="1"/>
  <c r="AQ15" i="5"/>
  <c r="AQ20" i="5" s="1"/>
  <c r="AM15" i="5"/>
  <c r="AM20" i="5" s="1"/>
  <c r="AL15" i="5"/>
  <c r="AJ15" i="5"/>
  <c r="AU14" i="5"/>
  <c r="CH13" i="5"/>
  <c r="CF13" i="5"/>
  <c r="CC13" i="5"/>
  <c r="CB13" i="5"/>
  <c r="CA13" i="5"/>
  <c r="BZ13" i="5"/>
  <c r="BY13" i="5"/>
  <c r="BX13" i="5"/>
  <c r="CH12" i="5"/>
  <c r="CH10" i="5" s="1"/>
  <c r="CF12" i="5"/>
  <c r="CF10" i="5" s="1"/>
  <c r="CE12" i="5"/>
  <c r="CE10" i="5" s="1"/>
  <c r="CC12" i="5"/>
  <c r="CB12" i="5"/>
  <c r="CA12" i="5"/>
  <c r="BZ12" i="5"/>
  <c r="BY12" i="5"/>
  <c r="BX12" i="5"/>
  <c r="BU10" i="5"/>
  <c r="BT10" i="5"/>
  <c r="BS10" i="5"/>
  <c r="BR10" i="5"/>
  <c r="BQ10" i="5"/>
  <c r="BP10" i="5"/>
  <c r="BO10" i="5"/>
  <c r="BN10" i="5"/>
  <c r="BM10" i="5"/>
  <c r="BL10" i="5"/>
  <c r="B12" i="5"/>
  <c r="B2" i="5"/>
  <c r="BO45" i="4"/>
  <c r="BO44" i="4"/>
  <c r="BM44" i="4"/>
  <c r="BL44" i="4"/>
  <c r="BK44" i="4"/>
  <c r="BJ44" i="4"/>
  <c r="BI44" i="4"/>
  <c r="BH44" i="4"/>
  <c r="BE44" i="4"/>
  <c r="BD44" i="4"/>
  <c r="BC44" i="4"/>
  <c r="BB44" i="4"/>
  <c r="BA44" i="4"/>
  <c r="AZ44" i="4"/>
  <c r="AY44" i="4"/>
  <c r="AX44" i="4"/>
  <c r="AW44" i="4"/>
  <c r="AV44" i="4"/>
  <c r="AM44" i="4"/>
  <c r="AL44" i="4"/>
  <c r="AK44" i="4"/>
  <c r="AJ44" i="4"/>
  <c r="AI44" i="4"/>
  <c r="BO42" i="4"/>
  <c r="BM42" i="4"/>
  <c r="BL42" i="4"/>
  <c r="BK42" i="4"/>
  <c r="BJ42" i="4"/>
  <c r="BI42" i="4"/>
  <c r="BH42" i="4"/>
  <c r="BF42" i="4"/>
  <c r="BE42" i="4"/>
  <c r="BD42" i="4"/>
  <c r="BC42" i="4"/>
  <c r="BB42" i="4"/>
  <c r="BA42" i="4"/>
  <c r="AZ42" i="4"/>
  <c r="AY42" i="4"/>
  <c r="AX42" i="4"/>
  <c r="AW42" i="4"/>
  <c r="AV42" i="4"/>
  <c r="AS42" i="4"/>
  <c r="AF42" i="4"/>
  <c r="AE42" i="4"/>
  <c r="AD42" i="4"/>
  <c r="AC42" i="4"/>
  <c r="AB42" i="4"/>
  <c r="AA42" i="4"/>
  <c r="Z42" i="4"/>
  <c r="Y42" i="4"/>
  <c r="X42" i="4"/>
  <c r="W42" i="4"/>
  <c r="BO40" i="4"/>
  <c r="BM40" i="4"/>
  <c r="BL40" i="4"/>
  <c r="BK40" i="4"/>
  <c r="BJ40" i="4"/>
  <c r="BI40" i="4"/>
  <c r="BH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F40" i="4"/>
  <c r="AE40" i="4"/>
  <c r="AD40" i="4"/>
  <c r="AC40" i="4"/>
  <c r="AB40" i="4"/>
  <c r="AA40" i="4"/>
  <c r="Z40" i="4"/>
  <c r="Y40" i="4"/>
  <c r="X40" i="4"/>
  <c r="W40" i="4"/>
  <c r="BM33" i="4"/>
  <c r="BM34" i="4" s="1"/>
  <c r="BL33" i="4"/>
  <c r="BL34" i="4" s="1"/>
  <c r="BK33" i="4"/>
  <c r="BK34" i="4" s="1"/>
  <c r="BI33" i="4"/>
  <c r="BI34" i="4" s="1"/>
  <c r="AE29" i="4"/>
  <c r="AD29" i="4"/>
  <c r="AA29" i="4"/>
  <c r="Z29" i="4"/>
  <c r="Y29" i="4"/>
  <c r="BM26" i="4"/>
  <c r="BL26" i="4"/>
  <c r="BK26" i="4"/>
  <c r="BJ26" i="4"/>
  <c r="BI26" i="4"/>
  <c r="BO28" i="4"/>
  <c r="BK28" i="4"/>
  <c r="BF28" i="4"/>
  <c r="BE28" i="4"/>
  <c r="BB28" i="4"/>
  <c r="BA28" i="4"/>
  <c r="AX28" i="4"/>
  <c r="AS28" i="4"/>
  <c r="AR28" i="4"/>
  <c r="AO28" i="4"/>
  <c r="AK28" i="4"/>
  <c r="AJ28" i="4"/>
  <c r="BO27" i="4"/>
  <c r="BL27" i="4"/>
  <c r="BK27" i="4"/>
  <c r="BJ27" i="4"/>
  <c r="BE27" i="4"/>
  <c r="BC27" i="4"/>
  <c r="BB27" i="4"/>
  <c r="BA27" i="4"/>
  <c r="AW27" i="4"/>
  <c r="AU27" i="4"/>
  <c r="AS27" i="4"/>
  <c r="AR27" i="4"/>
  <c r="AL27" i="4"/>
  <c r="AK27" i="4"/>
  <c r="AJ27" i="4"/>
  <c r="AF27" i="4"/>
  <c r="AE27" i="4"/>
  <c r="AC27" i="4"/>
  <c r="AB27" i="4"/>
  <c r="AA27" i="4"/>
  <c r="X27" i="4"/>
  <c r="W27" i="4"/>
  <c r="BM25" i="4"/>
  <c r="BL25" i="4"/>
  <c r="BK25" i="4"/>
  <c r="BJ25" i="4"/>
  <c r="BI25" i="4"/>
  <c r="BM24" i="4"/>
  <c r="BL24" i="4"/>
  <c r="BK24" i="4"/>
  <c r="BI24" i="4"/>
  <c r="BF24" i="4"/>
  <c r="BD24" i="4"/>
  <c r="AZ24" i="4"/>
  <c r="AY24" i="4"/>
  <c r="AM16" i="4"/>
  <c r="BO15" i="4"/>
  <c r="BO17" i="4" s="1"/>
  <c r="BM15" i="4"/>
  <c r="BM17" i="4" s="1"/>
  <c r="BK15" i="4"/>
  <c r="BK17" i="4" s="1"/>
  <c r="BJ15" i="4"/>
  <c r="BJ17" i="4" s="1"/>
  <c r="BF15" i="4"/>
  <c r="BF17" i="4" s="1"/>
  <c r="BE15" i="4"/>
  <c r="BE17" i="4" s="1"/>
  <c r="BD15" i="4"/>
  <c r="BD17" i="4" s="1"/>
  <c r="BB15" i="4"/>
  <c r="BB17" i="4" s="1"/>
  <c r="BA15" i="4"/>
  <c r="BA17" i="4" s="1"/>
  <c r="AX15" i="4"/>
  <c r="AX17" i="4" s="1"/>
  <c r="AW15" i="4"/>
  <c r="AW17" i="4" s="1"/>
  <c r="AV15" i="4"/>
  <c r="AV17" i="4" s="1"/>
  <c r="AS15" i="4"/>
  <c r="AR15" i="4"/>
  <c r="AO15" i="4"/>
  <c r="AN15" i="4"/>
  <c r="AM15" i="4"/>
  <c r="AK15" i="4"/>
  <c r="AJ15" i="4"/>
  <c r="Z15" i="4"/>
  <c r="Y15" i="4"/>
  <c r="X15" i="4"/>
  <c r="P46" i="5" l="1"/>
  <c r="O46" i="5"/>
  <c r="E18" i="5"/>
  <c r="P18" i="5"/>
  <c r="Q46" i="5"/>
  <c r="E46" i="5"/>
  <c r="Z18" i="5"/>
  <c r="Q18" i="5"/>
  <c r="K65" i="9"/>
  <c r="J65" i="9"/>
  <c r="K66" i="9"/>
  <c r="J66" i="9"/>
  <c r="K157" i="9"/>
  <c r="K156" i="9" s="1"/>
  <c r="K171" i="9" s="1"/>
  <c r="J157" i="9"/>
  <c r="J156" i="9" s="1"/>
  <c r="J171" i="9" s="1"/>
  <c r="K109" i="9"/>
  <c r="J109" i="9"/>
  <c r="M157" i="9"/>
  <c r="M156" i="9" s="1"/>
  <c r="M171" i="9" s="1"/>
  <c r="L157" i="9"/>
  <c r="L156" i="9" s="1"/>
  <c r="L171" i="9" s="1"/>
  <c r="M65" i="9"/>
  <c r="L65" i="9"/>
  <c r="M66" i="9"/>
  <c r="L66" i="9"/>
  <c r="M109" i="9"/>
  <c r="L109" i="9"/>
  <c r="N65" i="9"/>
  <c r="B65" i="9"/>
  <c r="N66" i="9"/>
  <c r="B66" i="9"/>
  <c r="N157" i="9"/>
  <c r="N156" i="9" s="1"/>
  <c r="N171" i="9" s="1"/>
  <c r="B157" i="9"/>
  <c r="B156" i="9" s="1"/>
  <c r="B171" i="9" s="1"/>
  <c r="N109" i="9"/>
  <c r="B109" i="9"/>
  <c r="T14" i="5"/>
  <c r="S14" i="5" s="1"/>
  <c r="P14" i="5" s="1"/>
  <c r="T16" i="5"/>
  <c r="S16" i="5" s="1"/>
  <c r="P16" i="5" s="1"/>
  <c r="BM29" i="4"/>
  <c r="X65" i="9"/>
  <c r="Y65" i="9"/>
  <c r="W65" i="9"/>
  <c r="G65" i="9" s="1"/>
  <c r="U65" i="9"/>
  <c r="V65" i="9"/>
  <c r="F65" i="9" s="1"/>
  <c r="X66" i="9"/>
  <c r="Y66" i="9"/>
  <c r="U66" i="9"/>
  <c r="W66" i="9"/>
  <c r="V66" i="9"/>
  <c r="Y157" i="9"/>
  <c r="I157" i="9" s="1"/>
  <c r="I156" i="9" s="1"/>
  <c r="I171" i="9" s="1"/>
  <c r="X157" i="9"/>
  <c r="W157" i="9"/>
  <c r="U157" i="9"/>
  <c r="V157" i="9"/>
  <c r="F157" i="9" s="1"/>
  <c r="F156" i="9" s="1"/>
  <c r="F171" i="9" s="1"/>
  <c r="X93" i="9"/>
  <c r="Y93" i="9"/>
  <c r="T93" i="9" s="1"/>
  <c r="U93" i="9"/>
  <c r="V93" i="9"/>
  <c r="W93" i="9"/>
  <c r="AB46" i="5"/>
  <c r="AC46" i="5"/>
  <c r="S46" i="5"/>
  <c r="Z46" i="5"/>
  <c r="AA46" i="5"/>
  <c r="Y109" i="9"/>
  <c r="X109" i="9"/>
  <c r="U109" i="9"/>
  <c r="W109" i="9"/>
  <c r="V109" i="9"/>
  <c r="F109" i="9" s="1"/>
  <c r="X50" i="9"/>
  <c r="AB18" i="5"/>
  <c r="AA18" i="5"/>
  <c r="S18" i="5"/>
  <c r="AC18" i="5"/>
  <c r="Z62" i="9"/>
  <c r="Y62" i="9" s="1"/>
  <c r="X62" i="9" s="1"/>
  <c r="W62" i="9" s="1"/>
  <c r="V62" i="9" s="1"/>
  <c r="U62" i="9" s="1"/>
  <c r="T62" i="9" s="1"/>
  <c r="S62" i="9" s="1"/>
  <c r="R62" i="9" s="1"/>
  <c r="AB171" i="9"/>
  <c r="AE42" i="5"/>
  <c r="AA115" i="9"/>
  <c r="AB115" i="9"/>
  <c r="Z140" i="9"/>
  <c r="Y140" i="9" s="1"/>
  <c r="Z146" i="9"/>
  <c r="Y146" i="9" s="1"/>
  <c r="X146" i="9" s="1"/>
  <c r="W146" i="9" s="1"/>
  <c r="V146" i="9" s="1"/>
  <c r="U146" i="9" s="1"/>
  <c r="T146" i="9" s="1"/>
  <c r="S146" i="9" s="1"/>
  <c r="R146" i="9" s="1"/>
  <c r="Z145" i="9"/>
  <c r="Y145" i="9" s="1"/>
  <c r="X145" i="9" s="1"/>
  <c r="W145" i="9" s="1"/>
  <c r="V145" i="9" s="1"/>
  <c r="U145" i="9" s="1"/>
  <c r="T145" i="9" s="1"/>
  <c r="S145" i="9" s="1"/>
  <c r="R145" i="9" s="1"/>
  <c r="Z144" i="9"/>
  <c r="Y144" i="9" s="1"/>
  <c r="X144" i="9" s="1"/>
  <c r="W144" i="9" s="1"/>
  <c r="V144" i="9" s="1"/>
  <c r="U144" i="9" s="1"/>
  <c r="T144" i="9" s="1"/>
  <c r="S144" i="9" s="1"/>
  <c r="R144" i="9" s="1"/>
  <c r="Z143" i="9"/>
  <c r="Y143" i="9" s="1"/>
  <c r="X143" i="9" s="1"/>
  <c r="W143" i="9" s="1"/>
  <c r="V143" i="9" s="1"/>
  <c r="U143" i="9" s="1"/>
  <c r="Z142" i="9"/>
  <c r="Y142" i="9" s="1"/>
  <c r="X142" i="9" s="1"/>
  <c r="W142" i="9" s="1"/>
  <c r="V142" i="9" s="1"/>
  <c r="U142" i="9" s="1"/>
  <c r="T142" i="9" s="1"/>
  <c r="S142" i="9" s="1"/>
  <c r="R142" i="9" s="1"/>
  <c r="AA95" i="9"/>
  <c r="AB95" i="9"/>
  <c r="Z95" i="9" s="1"/>
  <c r="AA48" i="9"/>
  <c r="AD28" i="5" s="1"/>
  <c r="AA139" i="9"/>
  <c r="Z139" i="9" s="1"/>
  <c r="Y139" i="9" s="1"/>
  <c r="X139" i="9" s="1"/>
  <c r="AB134" i="9"/>
  <c r="AA117" i="9"/>
  <c r="AB117" i="9"/>
  <c r="AB48" i="9"/>
  <c r="AE28" i="5" s="1"/>
  <c r="X75" i="6"/>
  <c r="Y75" i="6"/>
  <c r="BA30" i="4"/>
  <c r="BJ29" i="4"/>
  <c r="T75" i="6"/>
  <c r="BJ26" i="5"/>
  <c r="BD110" i="9"/>
  <c r="BB110" i="9" s="1"/>
  <c r="BI37" i="5"/>
  <c r="BB38" i="5"/>
  <c r="AY152" i="9"/>
  <c r="BK128" i="6"/>
  <c r="BK138" i="6" s="1"/>
  <c r="BK26" i="5"/>
  <c r="BC38" i="5"/>
  <c r="AZ152" i="9"/>
  <c r="I59" i="18"/>
  <c r="BF10" i="9"/>
  <c r="BF9" i="9" s="1"/>
  <c r="AV38" i="5"/>
  <c r="AS152" i="9"/>
  <c r="BD38" i="5"/>
  <c r="BA152" i="9"/>
  <c r="BT10" i="9"/>
  <c r="AW38" i="5"/>
  <c r="AT152" i="9"/>
  <c r="BE38" i="5"/>
  <c r="BB152" i="9"/>
  <c r="BB173" i="9" s="1"/>
  <c r="BA38" i="5"/>
  <c r="AX152" i="9"/>
  <c r="AX173" i="9" s="1"/>
  <c r="AX38" i="5"/>
  <c r="AU152" i="9"/>
  <c r="AU173" i="9" s="1"/>
  <c r="BF38" i="5"/>
  <c r="BC152" i="9"/>
  <c r="BC173" i="9" s="1"/>
  <c r="AY38" i="5"/>
  <c r="AV152" i="9"/>
  <c r="BG38" i="5"/>
  <c r="BG171" i="9"/>
  <c r="BJ42" i="5"/>
  <c r="BJ40" i="5" s="1"/>
  <c r="BH171" i="9"/>
  <c r="BK42" i="5"/>
  <c r="BK40" i="5" s="1"/>
  <c r="BI35" i="5"/>
  <c r="BR33" i="5"/>
  <c r="BO152" i="9"/>
  <c r="BO173" i="9" s="1"/>
  <c r="BO175" i="9" s="1"/>
  <c r="BS33" i="5"/>
  <c r="BT33" i="5"/>
  <c r="BU33" i="5"/>
  <c r="BP33" i="5"/>
  <c r="BQ33" i="5"/>
  <c r="BN152" i="9"/>
  <c r="BN173" i="9" s="1"/>
  <c r="BN175" i="9" s="1"/>
  <c r="BL31" i="5"/>
  <c r="BM31" i="5"/>
  <c r="BN31" i="5"/>
  <c r="BO31" i="5"/>
  <c r="BJ31" i="5"/>
  <c r="BG152" i="9"/>
  <c r="BK31" i="5"/>
  <c r="BH152" i="9"/>
  <c r="AU29" i="4"/>
  <c r="I54" i="18"/>
  <c r="I57" i="18" s="1"/>
  <c r="AH29" i="4"/>
  <c r="H54" i="18"/>
  <c r="BH29" i="4"/>
  <c r="J54" i="18"/>
  <c r="J57" i="18" s="1"/>
  <c r="J58" i="18" s="1"/>
  <c r="U33" i="4"/>
  <c r="G55" i="18"/>
  <c r="F55" i="18"/>
  <c r="AX30" i="4"/>
  <c r="AO38" i="5"/>
  <c r="AE152" i="9"/>
  <c r="AE173" i="9" s="1"/>
  <c r="AE179" i="9" s="1"/>
  <c r="AH152" i="9"/>
  <c r="AR38" i="5"/>
  <c r="BF152" i="9"/>
  <c r="AQ38" i="5"/>
  <c r="AI152" i="9"/>
  <c r="AS38" i="5"/>
  <c r="AJ152" i="9"/>
  <c r="AJ173" i="9" s="1"/>
  <c r="AJ179" i="9" s="1"/>
  <c r="AJ33" i="5"/>
  <c r="AG152" i="9"/>
  <c r="AF152" i="9"/>
  <c r="AF173" i="9" s="1"/>
  <c r="AK44" i="9"/>
  <c r="AN17" i="5"/>
  <c r="BT48" i="9"/>
  <c r="AL44" i="9"/>
  <c r="AO17" i="5"/>
  <c r="AO15" i="5" s="1"/>
  <c r="AO20" i="5" s="1"/>
  <c r="AO23" i="5" s="1"/>
  <c r="AB10" i="4"/>
  <c r="AB12" i="4" s="1"/>
  <c r="AD10" i="4"/>
  <c r="AD12" i="4" s="1"/>
  <c r="BH10" i="4"/>
  <c r="BH12" i="4" s="1"/>
  <c r="BD75" i="6"/>
  <c r="AP20" i="5"/>
  <c r="AP23" i="5" s="1"/>
  <c r="AH23" i="5"/>
  <c r="I43" i="18"/>
  <c r="AD65" i="6"/>
  <c r="H29" i="18"/>
  <c r="H34" i="18" s="1"/>
  <c r="AK128" i="6"/>
  <c r="C7" i="11"/>
  <c r="G20" i="11"/>
  <c r="G19" i="11" s="1"/>
  <c r="AQ47" i="6"/>
  <c r="AQ14" i="6" s="1"/>
  <c r="AU11" i="4" s="1"/>
  <c r="AD26" i="4"/>
  <c r="AH10" i="4"/>
  <c r="AH12" i="4" s="1"/>
  <c r="V15" i="6"/>
  <c r="V14" i="6" s="1"/>
  <c r="V75" i="6" s="1"/>
  <c r="AZ29" i="4"/>
  <c r="BI29" i="4"/>
  <c r="BE128" i="6"/>
  <c r="BE138" i="6" s="1"/>
  <c r="V10" i="4"/>
  <c r="V12" i="4" s="1"/>
  <c r="U17" i="4"/>
  <c r="Z10" i="4"/>
  <c r="AO33" i="4"/>
  <c r="AO34" i="4" s="1"/>
  <c r="AA10" i="4"/>
  <c r="AA12" i="4" s="1"/>
  <c r="AF128" i="6"/>
  <c r="AN128" i="6"/>
  <c r="BB29" i="4"/>
  <c r="BB30" i="4" s="1"/>
  <c r="BK29" i="4"/>
  <c r="BG128" i="6"/>
  <c r="BG138" i="6" s="1"/>
  <c r="BC29" i="4"/>
  <c r="BL29" i="4"/>
  <c r="BH128" i="6"/>
  <c r="U15" i="6"/>
  <c r="U14" i="6" s="1"/>
  <c r="Y11" i="4" s="1"/>
  <c r="AY29" i="4"/>
  <c r="BE29" i="4"/>
  <c r="BE30" i="4" s="1"/>
  <c r="X10" i="4"/>
  <c r="W10" i="4"/>
  <c r="W12" i="4" s="1"/>
  <c r="BF29" i="4"/>
  <c r="BF30" i="4" s="1"/>
  <c r="AC15" i="4"/>
  <c r="AC17" i="4" s="1"/>
  <c r="AB15" i="4"/>
  <c r="AB17" i="4" s="1"/>
  <c r="AE10" i="4"/>
  <c r="AE12" i="4" s="1"/>
  <c r="AF10" i="4"/>
  <c r="AF12" i="4" s="1"/>
  <c r="BF42" i="5"/>
  <c r="BF40" i="5" s="1"/>
  <c r="AR156" i="9"/>
  <c r="AR171" i="9" s="1"/>
  <c r="BM42" i="5"/>
  <c r="BM40" i="5" s="1"/>
  <c r="AE34" i="4"/>
  <c r="AJ128" i="6"/>
  <c r="AD156" i="9"/>
  <c r="AD171" i="9" s="1"/>
  <c r="AX42" i="5"/>
  <c r="AX40" i="5" s="1"/>
  <c r="BO42" i="5"/>
  <c r="BO40" i="5" s="1"/>
  <c r="BX42" i="5"/>
  <c r="BX40" i="5" s="1"/>
  <c r="AM33" i="5"/>
  <c r="AM26" i="5" s="1"/>
  <c r="AI33" i="5"/>
  <c r="AL33" i="5"/>
  <c r="AK33" i="5"/>
  <c r="AD114" i="9"/>
  <c r="BT16" i="5"/>
  <c r="BT15" i="5" s="1"/>
  <c r="BT20" i="5" s="1"/>
  <c r="AX44" i="9"/>
  <c r="BF31" i="5"/>
  <c r="AW44" i="9"/>
  <c r="BQ32" i="5"/>
  <c r="BR32" i="5"/>
  <c r="AZ44" i="9"/>
  <c r="BS32" i="5"/>
  <c r="BP83" i="9"/>
  <c r="BP152" i="9" s="1"/>
  <c r="BL32" i="5"/>
  <c r="BI83" i="9"/>
  <c r="BL29" i="5" s="1"/>
  <c r="BO32" i="5"/>
  <c r="BL83" i="9"/>
  <c r="BL152" i="9" s="1"/>
  <c r="BP32" i="5"/>
  <c r="BM83" i="9"/>
  <c r="BP29" i="5" s="1"/>
  <c r="BZ32" i="5"/>
  <c r="BW83" i="9"/>
  <c r="CC32" i="5"/>
  <c r="BZ83" i="9"/>
  <c r="BT32" i="5"/>
  <c r="BQ83" i="9"/>
  <c r="BT29" i="5" s="1"/>
  <c r="CE32" i="5"/>
  <c r="CB83" i="9"/>
  <c r="BM32" i="5"/>
  <c r="BJ83" i="9"/>
  <c r="BM29" i="5" s="1"/>
  <c r="BU32" i="5"/>
  <c r="BR83" i="9"/>
  <c r="BU29" i="5" s="1"/>
  <c r="BX32" i="5"/>
  <c r="BU83" i="9"/>
  <c r="CA32" i="5"/>
  <c r="BX83" i="9"/>
  <c r="BN32" i="5"/>
  <c r="BK83" i="9"/>
  <c r="BK152" i="9" s="1"/>
  <c r="CB32" i="5"/>
  <c r="BY83" i="9"/>
  <c r="BA44" i="9"/>
  <c r="BA42" i="5"/>
  <c r="BA40" i="5" s="1"/>
  <c r="BR44" i="9"/>
  <c r="AY44" i="9"/>
  <c r="AS44" i="9"/>
  <c r="AT44" i="9"/>
  <c r="BB44" i="9"/>
  <c r="BR42" i="5"/>
  <c r="BR40" i="5" s="1"/>
  <c r="AU44" i="9"/>
  <c r="BC44" i="9"/>
  <c r="AD48" i="9"/>
  <c r="AQ42" i="5"/>
  <c r="AQ40" i="5" s="1"/>
  <c r="AQ29" i="5"/>
  <c r="CA42" i="5"/>
  <c r="CA40" i="5" s="1"/>
  <c r="AH28" i="5"/>
  <c r="AM42" i="5"/>
  <c r="AM40" i="5" s="1"/>
  <c r="BN42" i="5"/>
  <c r="BN40" i="5" s="1"/>
  <c r="BW30" i="5"/>
  <c r="AS42" i="5"/>
  <c r="AS40" i="5" s="1"/>
  <c r="BE29" i="5"/>
  <c r="BE30" i="5"/>
  <c r="AR31" i="5"/>
  <c r="BA72" i="9"/>
  <c r="BF29" i="5"/>
  <c r="BA30" i="5"/>
  <c r="BE31" i="5"/>
  <c r="AW42" i="5"/>
  <c r="AW40" i="5" s="1"/>
  <c r="BW42" i="5"/>
  <c r="BW40" i="5" s="1"/>
  <c r="J67" i="18" s="1"/>
  <c r="AV102" i="9"/>
  <c r="AR29" i="5"/>
  <c r="BE42" i="5"/>
  <c r="BE40" i="5" s="1"/>
  <c r="AV70" i="9"/>
  <c r="BC110" i="9"/>
  <c r="AW102" i="9"/>
  <c r="AS69" i="9"/>
  <c r="AV104" i="9"/>
  <c r="AU104" i="9"/>
  <c r="AI31" i="5"/>
  <c r="CC16" i="5"/>
  <c r="CC15" i="5" s="1"/>
  <c r="BG42" i="5"/>
  <c r="BG40" i="5" s="1"/>
  <c r="AI23" i="5"/>
  <c r="AP104" i="9"/>
  <c r="AN76" i="9"/>
  <c r="CE16" i="5"/>
  <c r="CE15" i="5" s="1"/>
  <c r="CE20" i="5" s="1"/>
  <c r="CE23" i="5" s="1"/>
  <c r="AV29" i="5"/>
  <c r="BA31" i="5"/>
  <c r="BQ42" i="5"/>
  <c r="BQ40" i="5" s="1"/>
  <c r="AW71" i="9"/>
  <c r="AO71" i="9" s="1"/>
  <c r="AX102" i="9"/>
  <c r="AP102" i="9" s="1"/>
  <c r="AX103" i="9"/>
  <c r="AO103" i="9" s="1"/>
  <c r="AN69" i="9"/>
  <c r="CB38" i="5"/>
  <c r="CB26" i="5" s="1"/>
  <c r="CB45" i="5" s="1"/>
  <c r="AJ42" i="5"/>
  <c r="AJ40" i="5" s="1"/>
  <c r="AL29" i="5"/>
  <c r="AD134" i="9"/>
  <c r="AI42" i="5"/>
  <c r="AI40" i="5" s="1"/>
  <c r="BS42" i="5"/>
  <c r="BS40" i="5" s="1"/>
  <c r="BD127" i="9"/>
  <c r="BB127" i="9" s="1"/>
  <c r="AZ127" i="9" s="1"/>
  <c r="BC148" i="9"/>
  <c r="AZ148" i="9" s="1"/>
  <c r="BD29" i="5"/>
  <c r="AL69" i="9"/>
  <c r="BZ42" i="5"/>
  <c r="BZ40" i="5" s="1"/>
  <c r="AV71" i="9"/>
  <c r="AU102" i="9"/>
  <c r="AG32" i="5"/>
  <c r="AG35" i="5"/>
  <c r="AG34" i="5"/>
  <c r="AZ29" i="5"/>
  <c r="BB42" i="5"/>
  <c r="BB40" i="5" s="1"/>
  <c r="AN88" i="9"/>
  <c r="AW89" i="9"/>
  <c r="AO89" i="9" s="1"/>
  <c r="AV100" i="9"/>
  <c r="BC124" i="9"/>
  <c r="BA124" i="9" s="1"/>
  <c r="AY124" i="9" s="1"/>
  <c r="BT121" i="9"/>
  <c r="BW36" i="5" s="1"/>
  <c r="AP29" i="5"/>
  <c r="AL23" i="5"/>
  <c r="AW100" i="9"/>
  <c r="AW91" i="9" s="1"/>
  <c r="BD112" i="9"/>
  <c r="BB112" i="9" s="1"/>
  <c r="AZ112" i="9" s="1"/>
  <c r="BD122" i="9"/>
  <c r="BB122" i="9" s="1"/>
  <c r="AZ122" i="9" s="1"/>
  <c r="AR42" i="5"/>
  <c r="AR40" i="5" s="1"/>
  <c r="AT71" i="9"/>
  <c r="BT72" i="9"/>
  <c r="BW29" i="5" s="1"/>
  <c r="AT102" i="9"/>
  <c r="AS102" i="9"/>
  <c r="AZ30" i="5"/>
  <c r="BD42" i="9"/>
  <c r="AR42" i="9" s="1"/>
  <c r="AR41" i="9" s="1"/>
  <c r="AM69" i="9"/>
  <c r="AU71" i="9"/>
  <c r="AL76" i="9"/>
  <c r="AT88" i="9"/>
  <c r="AS89" i="9"/>
  <c r="AZ132" i="9"/>
  <c r="BT134" i="9"/>
  <c r="BY171" i="9"/>
  <c r="AS101" i="9"/>
  <c r="AS71" i="9"/>
  <c r="BT78" i="9"/>
  <c r="BW31" i="5" s="1"/>
  <c r="AS103" i="9"/>
  <c r="BD147" i="9"/>
  <c r="BB147" i="9" s="1"/>
  <c r="AZ147" i="9" s="1"/>
  <c r="AK33" i="4"/>
  <c r="AK34" i="4" s="1"/>
  <c r="AG128" i="6"/>
  <c r="AS33" i="4"/>
  <c r="AS34" i="4" s="1"/>
  <c r="AO128" i="6"/>
  <c r="AB34" i="4"/>
  <c r="AL33" i="4"/>
  <c r="AL34" i="4" s="1"/>
  <c r="AH128" i="6"/>
  <c r="AU33" i="4"/>
  <c r="AU34" i="4" s="1"/>
  <c r="AQ128" i="6"/>
  <c r="V34" i="4"/>
  <c r="AJ33" i="4"/>
  <c r="AJ34" i="4" s="1"/>
  <c r="W34" i="4"/>
  <c r="AC34" i="4"/>
  <c r="AM33" i="4"/>
  <c r="AM34" i="4" s="1"/>
  <c r="AI128" i="6"/>
  <c r="BH33" i="4"/>
  <c r="BH34" i="4" s="1"/>
  <c r="BD128" i="6"/>
  <c r="AH33" i="4"/>
  <c r="AH34" i="4" s="1"/>
  <c r="X34" i="4"/>
  <c r="AD34" i="4"/>
  <c r="Y34" i="4"/>
  <c r="AF34" i="4"/>
  <c r="AP33" i="4"/>
  <c r="AP34" i="4" s="1"/>
  <c r="AL128" i="6"/>
  <c r="AR33" i="4"/>
  <c r="AR34" i="4" s="1"/>
  <c r="AA34" i="4"/>
  <c r="AI33" i="4"/>
  <c r="AI34" i="4" s="1"/>
  <c r="AE128" i="6"/>
  <c r="AQ33" i="4"/>
  <c r="AQ34" i="4" s="1"/>
  <c r="AM128" i="6"/>
  <c r="T112" i="6"/>
  <c r="AB62" i="6"/>
  <c r="AB61" i="6" s="1"/>
  <c r="AF15" i="4" s="1"/>
  <c r="AF17" i="4" s="1"/>
  <c r="AD62" i="6"/>
  <c r="Z62" i="6"/>
  <c r="Z61" i="6" s="1"/>
  <c r="Z75" i="6" s="1"/>
  <c r="AA62" i="6"/>
  <c r="AA61" i="6" s="1"/>
  <c r="AE15" i="4" s="1"/>
  <c r="AE17" i="4" s="1"/>
  <c r="U12" i="4"/>
  <c r="BI30" i="4"/>
  <c r="BI36" i="4" s="1"/>
  <c r="AY12" i="4"/>
  <c r="AY19" i="4" s="1"/>
  <c r="AK30" i="4"/>
  <c r="BC12" i="4"/>
  <c r="BC19" i="4" s="1"/>
  <c r="AR30" i="4"/>
  <c r="BM30" i="4"/>
  <c r="BM36" i="4" s="1"/>
  <c r="AH42" i="5"/>
  <c r="AH33" i="5"/>
  <c r="AH31" i="5"/>
  <c r="AZ15" i="5"/>
  <c r="AZ20" i="5" s="1"/>
  <c r="AZ23" i="5" s="1"/>
  <c r="AU81" i="9"/>
  <c r="AS31" i="5"/>
  <c r="AK42" i="5"/>
  <c r="AK40" i="5" s="1"/>
  <c r="BM171" i="9"/>
  <c r="BP42" i="5"/>
  <c r="BP40" i="5" s="1"/>
  <c r="BT41" i="9"/>
  <c r="BW16" i="5" s="1"/>
  <c r="BW15" i="5" s="1"/>
  <c r="CB16" i="5"/>
  <c r="CB15" i="5" s="1"/>
  <c r="AU69" i="9"/>
  <c r="AT69" i="9"/>
  <c r="AX30" i="5"/>
  <c r="AQ30" i="5"/>
  <c r="BF30" i="5"/>
  <c r="AX81" i="9"/>
  <c r="AW81" i="9"/>
  <c r="AL31" i="5"/>
  <c r="AP31" i="5"/>
  <c r="AR78" i="9"/>
  <c r="AV31" i="5"/>
  <c r="AZ31" i="5"/>
  <c r="BD31" i="5"/>
  <c r="BD149" i="9"/>
  <c r="BB149" i="9" s="1"/>
  <c r="BC149" i="9"/>
  <c r="AI28" i="5"/>
  <c r="AU70" i="9"/>
  <c r="AT70" i="9"/>
  <c r="BD72" i="9"/>
  <c r="AK31" i="5"/>
  <c r="AO31" i="5"/>
  <c r="AY31" i="5"/>
  <c r="BC31" i="5"/>
  <c r="BG31" i="5"/>
  <c r="AV171" i="9"/>
  <c r="AY42" i="5"/>
  <c r="AY40" i="5" s="1"/>
  <c r="AZ171" i="9"/>
  <c r="BC42" i="5"/>
  <c r="BC40" i="5" s="1"/>
  <c r="BI171" i="9"/>
  <c r="BL42" i="5"/>
  <c r="BL40" i="5" s="1"/>
  <c r="BV171" i="9"/>
  <c r="BY42" i="5"/>
  <c r="BY40" i="5" s="1"/>
  <c r="AK29" i="5"/>
  <c r="AY29" i="5"/>
  <c r="AP69" i="9"/>
  <c r="AK76" i="9"/>
  <c r="AO76" i="9"/>
  <c r="AV81" i="9"/>
  <c r="AD86" i="9"/>
  <c r="BT86" i="9"/>
  <c r="BW32" i="5" s="1"/>
  <c r="BY32" i="5"/>
  <c r="BC125" i="9"/>
  <c r="BD125" i="9"/>
  <c r="BB125" i="9" s="1"/>
  <c r="BC136" i="9"/>
  <c r="BD136" i="9"/>
  <c r="BB136" i="9" s="1"/>
  <c r="BF41" i="9"/>
  <c r="AR48" i="9"/>
  <c r="AY72" i="9"/>
  <c r="BF72" i="9"/>
  <c r="AT76" i="9"/>
  <c r="AL88" i="9"/>
  <c r="AP88" i="9"/>
  <c r="AN104" i="9"/>
  <c r="AL42" i="5"/>
  <c r="AL40" i="5" s="1"/>
  <c r="AP42" i="5"/>
  <c r="AP40" i="5" s="1"/>
  <c r="AS171" i="9"/>
  <c r="AV42" i="5"/>
  <c r="AV40" i="5" s="1"/>
  <c r="AW171" i="9"/>
  <c r="AZ42" i="5"/>
  <c r="AZ40" i="5" s="1"/>
  <c r="BA171" i="9"/>
  <c r="BD42" i="5"/>
  <c r="BD40" i="5" s="1"/>
  <c r="BZ171" i="9"/>
  <c r="BF42" i="9"/>
  <c r="AK69" i="9"/>
  <c r="AO69" i="9"/>
  <c r="AS70" i="9"/>
  <c r="AX70" i="9"/>
  <c r="AP70" i="9" s="1"/>
  <c r="AW70" i="9"/>
  <c r="AZ72" i="9"/>
  <c r="AP76" i="9"/>
  <c r="AS88" i="9"/>
  <c r="AM88" i="9"/>
  <c r="AT100" i="9"/>
  <c r="AU100" i="9"/>
  <c r="AT103" i="9"/>
  <c r="AS104" i="9"/>
  <c r="BT107" i="9"/>
  <c r="BW34" i="5" s="1"/>
  <c r="BA132" i="9"/>
  <c r="AU89" i="9"/>
  <c r="BF86" i="9"/>
  <c r="AT101" i="9"/>
  <c r="AO104" i="9"/>
  <c r="BT114" i="9"/>
  <c r="BW35" i="5" s="1"/>
  <c r="BQ171" i="9"/>
  <c r="CB171" i="9"/>
  <c r="BM38" i="5"/>
  <c r="BM26" i="5" s="1"/>
  <c r="BC72" i="9"/>
  <c r="AT81" i="9"/>
  <c r="AV89" i="9"/>
  <c r="AP89" i="9"/>
  <c r="AV101" i="9"/>
  <c r="AV103" i="9"/>
  <c r="AD107" i="9"/>
  <c r="AR107" i="9"/>
  <c r="AR121" i="9"/>
  <c r="BR171" i="9"/>
  <c r="CC10" i="5"/>
  <c r="CE38" i="5"/>
  <c r="BQ38" i="5"/>
  <c r="AV20" i="5"/>
  <c r="BX10" i="5"/>
  <c r="BX20" i="5" s="1"/>
  <c r="BX23" i="5" s="1"/>
  <c r="BY38" i="5"/>
  <c r="CC38" i="5"/>
  <c r="CC26" i="5" s="1"/>
  <c r="CC45" i="5" s="1"/>
  <c r="BL38" i="5"/>
  <c r="BL26" i="5" s="1"/>
  <c r="BP38" i="5"/>
  <c r="BT38" i="5"/>
  <c r="BU38" i="5"/>
  <c r="BZ38" i="5"/>
  <c r="BZ26" i="5" s="1"/>
  <c r="BD20" i="5"/>
  <c r="BD23" i="5" s="1"/>
  <c r="AR23" i="5"/>
  <c r="AX20" i="5"/>
  <c r="BM20" i="5"/>
  <c r="BU20" i="5"/>
  <c r="BZ10" i="5"/>
  <c r="BZ20" i="5" s="1"/>
  <c r="BZ23" i="5" s="1"/>
  <c r="CB10" i="5"/>
  <c r="AM23" i="5"/>
  <c r="AQ23" i="5"/>
  <c r="BA20" i="5"/>
  <c r="BA23" i="5" s="1"/>
  <c r="BE20" i="5"/>
  <c r="BL20" i="5"/>
  <c r="BP20" i="5"/>
  <c r="BY10" i="5"/>
  <c r="BY20" i="5" s="1"/>
  <c r="BY23" i="5" s="1"/>
  <c r="CA10" i="5"/>
  <c r="CA20" i="5" s="1"/>
  <c r="CA23" i="5" s="1"/>
  <c r="AU35" i="5"/>
  <c r="CA38" i="5"/>
  <c r="CA26" i="5" s="1"/>
  <c r="BN38" i="5"/>
  <c r="BR38" i="5"/>
  <c r="BW38" i="5"/>
  <c r="BQ20" i="5"/>
  <c r="BO38" i="5"/>
  <c r="BS38" i="5"/>
  <c r="BX38" i="5"/>
  <c r="AW20" i="5"/>
  <c r="AW23" i="5" s="1"/>
  <c r="CH20" i="5"/>
  <c r="CH23" i="5" s="1"/>
  <c r="AU36" i="5"/>
  <c r="CF45" i="5"/>
  <c r="CE40" i="5"/>
  <c r="AR17" i="4"/>
  <c r="AS30" i="4"/>
  <c r="AM133" i="6"/>
  <c r="AQ42" i="4" s="1"/>
  <c r="AR42" i="4"/>
  <c r="AM17" i="4"/>
  <c r="BD28" i="4"/>
  <c r="BH15" i="4"/>
  <c r="BH17" i="4" s="1"/>
  <c r="BH75" i="6"/>
  <c r="BL15" i="4"/>
  <c r="BL17" i="4" s="1"/>
  <c r="BJ24" i="4"/>
  <c r="BJ30" i="4" s="1"/>
  <c r="BJ33" i="4"/>
  <c r="BJ34" i="4" s="1"/>
  <c r="BO24" i="4"/>
  <c r="BO30" i="4" s="1"/>
  <c r="BO33" i="4"/>
  <c r="BO34" i="4" s="1"/>
  <c r="AL75" i="6"/>
  <c r="AZ12" i="4"/>
  <c r="AZ19" i="4" s="1"/>
  <c r="AI75" i="6"/>
  <c r="AH75" i="6"/>
  <c r="AI12" i="4"/>
  <c r="AE75" i="6"/>
  <c r="AM75" i="6"/>
  <c r="Y10" i="4"/>
  <c r="AC10" i="4"/>
  <c r="AC12" i="4" s="1"/>
  <c r="AL10" i="4"/>
  <c r="AL12" i="4" s="1"/>
  <c r="AP10" i="4"/>
  <c r="AP12" i="4" s="1"/>
  <c r="AU10" i="4"/>
  <c r="AF75" i="6"/>
  <c r="BK75" i="6"/>
  <c r="AJ75" i="6"/>
  <c r="AN75" i="6"/>
  <c r="AS75" i="6"/>
  <c r="AW75" i="6"/>
  <c r="BA75" i="6"/>
  <c r="BF75" i="6"/>
  <c r="V79" i="6"/>
  <c r="Z26" i="4" s="1"/>
  <c r="AN30" i="4"/>
  <c r="AN36" i="4" s="1"/>
  <c r="AW30" i="4"/>
  <c r="AM12" i="4"/>
  <c r="BD12" i="4"/>
  <c r="BD19" i="4" s="1"/>
  <c r="W17" i="4"/>
  <c r="AN17" i="4"/>
  <c r="BL12" i="4"/>
  <c r="AQ12" i="4"/>
  <c r="Z17" i="4"/>
  <c r="AI17" i="4"/>
  <c r="AQ17" i="4"/>
  <c r="AJ30" i="4"/>
  <c r="AV12" i="4"/>
  <c r="AV19" i="4" s="1"/>
  <c r="BI12" i="4"/>
  <c r="BI19" i="4" s="1"/>
  <c r="BM12" i="4"/>
  <c r="BM19" i="4" s="1"/>
  <c r="AA17" i="4"/>
  <c r="AJ17" i="4"/>
  <c r="BL30" i="4"/>
  <c r="BL36" i="4" s="1"/>
  <c r="BB20" i="5"/>
  <c r="BB23" i="5" s="1"/>
  <c r="AU34" i="5"/>
  <c r="AS20" i="5"/>
  <c r="AY20" i="5"/>
  <c r="AY23" i="5" s="1"/>
  <c r="BC20" i="5"/>
  <c r="BC23" i="5" s="1"/>
  <c r="BG20" i="5"/>
  <c r="BG23" i="5" s="1"/>
  <c r="BN20" i="5"/>
  <c r="BR20" i="5"/>
  <c r="CF20" i="5"/>
  <c r="CF23" i="5" s="1"/>
  <c r="AU28" i="5"/>
  <c r="CH45" i="5"/>
  <c r="BO20" i="5"/>
  <c r="BS20" i="5"/>
  <c r="Y17" i="4"/>
  <c r="AK17" i="4"/>
  <c r="AS17" i="4"/>
  <c r="AL17" i="4"/>
  <c r="AP17" i="4"/>
  <c r="AU17" i="4"/>
  <c r="AO17" i="4"/>
  <c r="X17" i="4"/>
  <c r="AW12" i="4"/>
  <c r="AW19" i="4" s="1"/>
  <c r="AK12" i="4"/>
  <c r="AO12" i="4"/>
  <c r="AS12" i="4"/>
  <c r="AX12" i="4"/>
  <c r="AX19" i="4" s="1"/>
  <c r="BF12" i="4"/>
  <c r="BF19" i="4" s="1"/>
  <c r="BK12" i="4"/>
  <c r="BK19" i="4" s="1"/>
  <c r="BB12" i="4"/>
  <c r="BB19" i="4" s="1"/>
  <c r="AN12" i="4"/>
  <c r="AR12" i="4"/>
  <c r="BG75" i="6"/>
  <c r="BE12" i="4"/>
  <c r="BE19" i="4" s="1"/>
  <c r="BA12" i="4"/>
  <c r="BA19" i="4" s="1"/>
  <c r="AP28" i="4"/>
  <c r="AP30" i="4" s="1"/>
  <c r="AY28" i="4"/>
  <c r="BH28" i="4"/>
  <c r="BH138" i="6"/>
  <c r="BL28" i="4"/>
  <c r="AO30" i="4"/>
  <c r="AJ12" i="4"/>
  <c r="BJ12" i="4"/>
  <c r="BJ19" i="4" s="1"/>
  <c r="BO12" i="4"/>
  <c r="BO19" i="4" s="1"/>
  <c r="AU75" i="6"/>
  <c r="AY75" i="6"/>
  <c r="AL28" i="4"/>
  <c r="AL30" i="4" s="1"/>
  <c r="AU28" i="4"/>
  <c r="BC28" i="4"/>
  <c r="AI28" i="4"/>
  <c r="AI30" i="4" s="1"/>
  <c r="AZ28" i="4"/>
  <c r="AR75" i="6"/>
  <c r="AV75" i="6"/>
  <c r="AZ75" i="6"/>
  <c r="BE75" i="6"/>
  <c r="BI75" i="6"/>
  <c r="BF138" i="6"/>
  <c r="BK30" i="4"/>
  <c r="BK36" i="4" s="1"/>
  <c r="AM30" i="4"/>
  <c r="AQ30" i="4"/>
  <c r="AV30" i="4"/>
  <c r="BO47" i="4"/>
  <c r="AG75" i="6"/>
  <c r="AK75" i="6"/>
  <c r="AO75" i="6"/>
  <c r="AT75" i="6"/>
  <c r="AX75" i="6"/>
  <c r="BB75" i="6"/>
  <c r="BI138" i="6"/>
  <c r="AP71" i="9"/>
  <c r="AP91" i="9"/>
  <c r="BD41" i="9"/>
  <c r="BF16" i="5" s="1"/>
  <c r="BF15" i="5" s="1"/>
  <c r="BU48" i="9"/>
  <c r="BU152" i="9" s="1"/>
  <c r="BD80" i="9"/>
  <c r="BA80" i="9" s="1"/>
  <c r="BD111" i="9"/>
  <c r="BB111" i="9" s="1"/>
  <c r="BC111" i="9"/>
  <c r="AR114" i="9"/>
  <c r="BD126" i="9"/>
  <c r="BB126" i="9" s="1"/>
  <c r="BC126" i="9"/>
  <c r="BD118" i="9"/>
  <c r="BB118" i="9" s="1"/>
  <c r="BC118" i="9"/>
  <c r="BY152" i="9"/>
  <c r="BB72" i="9"/>
  <c r="AM76" i="9"/>
  <c r="AS76" i="9"/>
  <c r="AS81" i="9"/>
  <c r="AK88" i="9"/>
  <c r="AO88" i="9"/>
  <c r="AT89" i="9"/>
  <c r="BD86" i="9"/>
  <c r="AR86" i="9" s="1"/>
  <c r="AU32" i="5" s="1"/>
  <c r="AS100" i="9"/>
  <c r="AU103" i="9"/>
  <c r="AT104" i="9"/>
  <c r="BT91" i="9"/>
  <c r="BW33" i="5" s="1"/>
  <c r="BD119" i="9"/>
  <c r="BV152" i="9"/>
  <c r="BZ152" i="9"/>
  <c r="BB132" i="9"/>
  <c r="AR134" i="9"/>
  <c r="BW152" i="9"/>
  <c r="BW173" i="9" s="1"/>
  <c r="BW175" i="9" s="1"/>
  <c r="CB152" i="9"/>
  <c r="AY132" i="9"/>
  <c r="BD135" i="9"/>
  <c r="BB135" i="9" s="1"/>
  <c r="BC135" i="9"/>
  <c r="BX152" i="9"/>
  <c r="BX173" i="9" s="1"/>
  <c r="BX175" i="9" s="1"/>
  <c r="BD150" i="9"/>
  <c r="BB150" i="9" s="1"/>
  <c r="BC150" i="9"/>
  <c r="K46" i="5" l="1"/>
  <c r="K18" i="5"/>
  <c r="L46" i="5"/>
  <c r="L18" i="5"/>
  <c r="M46" i="5"/>
  <c r="M18" i="5"/>
  <c r="Y18" i="5"/>
  <c r="J18" i="5" s="1"/>
  <c r="N18" i="5"/>
  <c r="Y46" i="5"/>
  <c r="N46" i="5"/>
  <c r="Q14" i="5"/>
  <c r="O14" i="5" s="1"/>
  <c r="M14" i="5" s="1"/>
  <c r="E14" i="5"/>
  <c r="Q16" i="5"/>
  <c r="O16" i="5" s="1"/>
  <c r="M16" i="5" s="1"/>
  <c r="E16" i="5"/>
  <c r="E109" i="9"/>
  <c r="U156" i="9"/>
  <c r="E157" i="9"/>
  <c r="E156" i="9" s="1"/>
  <c r="E171" i="9" s="1"/>
  <c r="E65" i="9"/>
  <c r="E66" i="9"/>
  <c r="G157" i="9"/>
  <c r="G156" i="9" s="1"/>
  <c r="G171" i="9" s="1"/>
  <c r="F66" i="9"/>
  <c r="G109" i="9"/>
  <c r="G66" i="9"/>
  <c r="H66" i="9"/>
  <c r="H109" i="9"/>
  <c r="H65" i="9"/>
  <c r="H157" i="9"/>
  <c r="H156" i="9" s="1"/>
  <c r="H171" i="9" s="1"/>
  <c r="T66" i="9"/>
  <c r="D66" i="9" s="1"/>
  <c r="I66" i="9"/>
  <c r="T109" i="9"/>
  <c r="D109" i="9" s="1"/>
  <c r="I109" i="9"/>
  <c r="T65" i="9"/>
  <c r="D65" i="9" s="1"/>
  <c r="I65" i="9"/>
  <c r="S109" i="9"/>
  <c r="C109" i="9" s="1"/>
  <c r="R65" i="9"/>
  <c r="AZ110" i="9"/>
  <c r="Q93" i="9"/>
  <c r="Q109" i="9"/>
  <c r="R109" i="9"/>
  <c r="Q65" i="9"/>
  <c r="N115" i="9"/>
  <c r="X95" i="9"/>
  <c r="Q62" i="9"/>
  <c r="P62" i="9" s="1"/>
  <c r="M62" i="9" s="1"/>
  <c r="BJ45" i="5"/>
  <c r="BJ47" i="5" s="1"/>
  <c r="BJ51" i="5" s="1"/>
  <c r="Q142" i="9"/>
  <c r="P142" i="9" s="1"/>
  <c r="M142" i="9" s="1"/>
  <c r="Q66" i="9"/>
  <c r="R66" i="9"/>
  <c r="Q144" i="9"/>
  <c r="P144" i="9" s="1"/>
  <c r="M144" i="9" s="1"/>
  <c r="R93" i="9"/>
  <c r="Q145" i="9"/>
  <c r="P145" i="9" s="1"/>
  <c r="M145" i="9" s="1"/>
  <c r="Q146" i="9"/>
  <c r="P146" i="9" s="1"/>
  <c r="M146" i="9" s="1"/>
  <c r="S66" i="9"/>
  <c r="C66" i="9" s="1"/>
  <c r="V156" i="9"/>
  <c r="V171" i="9" s="1"/>
  <c r="Q157" i="9"/>
  <c r="Q156" i="9" s="1"/>
  <c r="V46" i="5"/>
  <c r="S157" i="9"/>
  <c r="X156" i="9"/>
  <c r="U18" i="5"/>
  <c r="F18" i="5" s="1"/>
  <c r="Y156" i="9"/>
  <c r="T157" i="9"/>
  <c r="T143" i="9"/>
  <c r="Y134" i="9"/>
  <c r="AB38" i="5" s="1"/>
  <c r="X140" i="9"/>
  <c r="W140" i="9" s="1"/>
  <c r="X46" i="5"/>
  <c r="Y117" i="9"/>
  <c r="S93" i="9"/>
  <c r="Y115" i="9"/>
  <c r="W139" i="9"/>
  <c r="V139" i="9" s="1"/>
  <c r="X42" i="5"/>
  <c r="X40" i="5" s="1"/>
  <c r="U171" i="9"/>
  <c r="BH173" i="9"/>
  <c r="BH175" i="9" s="1"/>
  <c r="BH179" i="9" s="1"/>
  <c r="AV45" i="4" s="1"/>
  <c r="AV47" i="4" s="1"/>
  <c r="W46" i="5"/>
  <c r="R157" i="9"/>
  <c r="R156" i="9" s="1"/>
  <c r="W156" i="9"/>
  <c r="S65" i="9"/>
  <c r="V18" i="5"/>
  <c r="W18" i="5"/>
  <c r="X18" i="5"/>
  <c r="Z48" i="9"/>
  <c r="AC28" i="5" s="1"/>
  <c r="Y48" i="9"/>
  <c r="AB28" i="5" s="1"/>
  <c r="W50" i="9"/>
  <c r="X48" i="9"/>
  <c r="AA28" i="5" s="1"/>
  <c r="Y95" i="9"/>
  <c r="W95" i="9" s="1"/>
  <c r="Z115" i="9"/>
  <c r="M115" i="9" s="1"/>
  <c r="P115" i="9"/>
  <c r="AB114" i="9"/>
  <c r="AE35" i="5" s="1"/>
  <c r="Z117" i="9"/>
  <c r="X117" i="9" s="1"/>
  <c r="AE40" i="5"/>
  <c r="Z88" i="9"/>
  <c r="P88" i="9"/>
  <c r="AA88" i="9"/>
  <c r="AB88" i="9"/>
  <c r="Z134" i="9"/>
  <c r="AC38" i="5" s="1"/>
  <c r="Z76" i="9"/>
  <c r="AA76" i="9"/>
  <c r="P76" i="9"/>
  <c r="AB76" i="9"/>
  <c r="BC30" i="4"/>
  <c r="AA114" i="9"/>
  <c r="AD35" i="5" s="1"/>
  <c r="AE38" i="5"/>
  <c r="AA134" i="9"/>
  <c r="AD38" i="5" s="1"/>
  <c r="BS26" i="5"/>
  <c r="AX26" i="5"/>
  <c r="BP45" i="5"/>
  <c r="BP47" i="5" s="1"/>
  <c r="BQ45" i="5"/>
  <c r="BQ47" i="5" s="1"/>
  <c r="BQ51" i="5" s="1"/>
  <c r="BB45" i="4" s="1"/>
  <c r="BB47" i="4" s="1"/>
  <c r="AW45" i="5"/>
  <c r="AW47" i="5" s="1"/>
  <c r="AW51" i="5" s="1"/>
  <c r="BT45" i="5"/>
  <c r="BT47" i="5" s="1"/>
  <c r="AY30" i="4"/>
  <c r="AU30" i="4"/>
  <c r="AU36" i="4" s="1"/>
  <c r="AJ36" i="4"/>
  <c r="BB45" i="5"/>
  <c r="BB47" i="5" s="1"/>
  <c r="BB51" i="5" s="1"/>
  <c r="AL36" i="4"/>
  <c r="AD61" i="6"/>
  <c r="AH15" i="4" s="1"/>
  <c r="AH17" i="4" s="1"/>
  <c r="AH19" i="4" s="1"/>
  <c r="U75" i="6"/>
  <c r="AB75" i="6"/>
  <c r="BK45" i="5"/>
  <c r="BK47" i="5" s="1"/>
  <c r="BK51" i="5" s="1"/>
  <c r="AA75" i="6"/>
  <c r="BG173" i="9"/>
  <c r="BG175" i="9" s="1"/>
  <c r="BG179" i="9" s="1"/>
  <c r="AU38" i="5"/>
  <c r="I58" i="18"/>
  <c r="G7" i="11"/>
  <c r="C22" i="11"/>
  <c r="BL173" i="9"/>
  <c r="BL175" i="9" s="1"/>
  <c r="BL179" i="9" s="1"/>
  <c r="AV134" i="6" s="1"/>
  <c r="AV136" i="6" s="1"/>
  <c r="BO29" i="5"/>
  <c r="BO45" i="5" s="1"/>
  <c r="BO47" i="5" s="1"/>
  <c r="BO51" i="5" s="1"/>
  <c r="AZ45" i="4" s="1"/>
  <c r="AZ47" i="4" s="1"/>
  <c r="BD152" i="9"/>
  <c r="BD173" i="9" s="1"/>
  <c r="BM152" i="9"/>
  <c r="BM173" i="9" s="1"/>
  <c r="BM175" i="9" s="1"/>
  <c r="AR152" i="9"/>
  <c r="BJ152" i="9"/>
  <c r="BJ173" i="9" s="1"/>
  <c r="BJ175" i="9" s="1"/>
  <c r="BJ179" i="9" s="1"/>
  <c r="BR152" i="9"/>
  <c r="BR173" i="9" s="1"/>
  <c r="BR175" i="9" s="1"/>
  <c r="BR179" i="9" s="1"/>
  <c r="BB134" i="6" s="1"/>
  <c r="BK173" i="9"/>
  <c r="BK175" i="9" s="1"/>
  <c r="BK179" i="9" s="1"/>
  <c r="BN29" i="5"/>
  <c r="BP173" i="9"/>
  <c r="BP175" i="9" s="1"/>
  <c r="BP179" i="9" s="1"/>
  <c r="BS29" i="5"/>
  <c r="BS45" i="5" s="1"/>
  <c r="BS47" i="5" s="1"/>
  <c r="BS51" i="5" s="1"/>
  <c r="AX45" i="5"/>
  <c r="AX47" i="5" s="1"/>
  <c r="AX51" i="5" s="1"/>
  <c r="BI152" i="9"/>
  <c r="BI173" i="9" s="1"/>
  <c r="BI175" i="9" s="1"/>
  <c r="BQ152" i="9"/>
  <c r="BQ173" i="9" s="1"/>
  <c r="BQ175" i="9" s="1"/>
  <c r="BQ179" i="9" s="1"/>
  <c r="BA134" i="6" s="1"/>
  <c r="BA136" i="6" s="1"/>
  <c r="BW12" i="5"/>
  <c r="BW10" i="5" s="1"/>
  <c r="J59" i="18" s="1"/>
  <c r="BT9" i="9"/>
  <c r="BT44" i="9" s="1"/>
  <c r="BU26" i="5"/>
  <c r="AZ33" i="5"/>
  <c r="AU33" i="5" s="1"/>
  <c r="AW152" i="9"/>
  <c r="AW173" i="9" s="1"/>
  <c r="AW179" i="9" s="1"/>
  <c r="AQ75" i="6"/>
  <c r="AZ30" i="4"/>
  <c r="BD30" i="4"/>
  <c r="BR45" i="5"/>
  <c r="BR47" i="5" s="1"/>
  <c r="BR51" i="5" s="1"/>
  <c r="BC45" i="4" s="1"/>
  <c r="BC47" i="4" s="1"/>
  <c r="BT26" i="5"/>
  <c r="BQ26" i="5"/>
  <c r="BL45" i="5"/>
  <c r="BL47" i="5" s="1"/>
  <c r="BP26" i="5"/>
  <c r="BO23" i="5"/>
  <c r="BP23" i="5"/>
  <c r="BN23" i="5"/>
  <c r="BT23" i="5"/>
  <c r="BL23" i="5"/>
  <c r="BU23" i="5"/>
  <c r="BU45" i="5"/>
  <c r="BU47" i="5" s="1"/>
  <c r="BO26" i="5"/>
  <c r="BS23" i="5"/>
  <c r="BM23" i="5"/>
  <c r="BM45" i="5"/>
  <c r="BM47" i="5" s="1"/>
  <c r="BM51" i="5" s="1"/>
  <c r="BR26" i="5"/>
  <c r="BN26" i="5"/>
  <c r="BR23" i="5"/>
  <c r="BQ23" i="5"/>
  <c r="AG38" i="5"/>
  <c r="AG17" i="5"/>
  <c r="AG15" i="5" s="1"/>
  <c r="AG20" i="5" s="1"/>
  <c r="AN15" i="5"/>
  <c r="J60" i="18"/>
  <c r="H43" i="18"/>
  <c r="G22" i="11"/>
  <c r="AR19" i="4"/>
  <c r="AO36" i="4"/>
  <c r="Z11" i="4"/>
  <c r="Z12" i="4" s="1"/>
  <c r="Z19" i="4" s="1"/>
  <c r="Y12" i="4"/>
  <c r="Y19" i="4" s="1"/>
  <c r="AR36" i="4"/>
  <c r="AI36" i="4"/>
  <c r="AQ36" i="4"/>
  <c r="BH30" i="4"/>
  <c r="BH36" i="4" s="1"/>
  <c r="AE175" i="9"/>
  <c r="AE177" i="9" s="1"/>
  <c r="AF179" i="9"/>
  <c r="AF175" i="9"/>
  <c r="AF177" i="9" s="1"/>
  <c r="AM45" i="5"/>
  <c r="AM47" i="5" s="1"/>
  <c r="AS33" i="5"/>
  <c r="BB175" i="9"/>
  <c r="AX179" i="9"/>
  <c r="BF45" i="5"/>
  <c r="BC179" i="9"/>
  <c r="BA110" i="9"/>
  <c r="AY110" i="9" s="1"/>
  <c r="BY173" i="9"/>
  <c r="BY175" i="9" s="1"/>
  <c r="CB47" i="5" s="1"/>
  <c r="CE26" i="5"/>
  <c r="CE45" i="5" s="1"/>
  <c r="CE47" i="5" s="1"/>
  <c r="AD44" i="9"/>
  <c r="BA127" i="9"/>
  <c r="AY127" i="9" s="1"/>
  <c r="AW127" i="9" s="1"/>
  <c r="BA148" i="9"/>
  <c r="AY148" i="9" s="1"/>
  <c r="AW148" i="9" s="1"/>
  <c r="BT83" i="9"/>
  <c r="BT152" i="9" s="1"/>
  <c r="BT173" i="9" s="1"/>
  <c r="BA45" i="5"/>
  <c r="BA47" i="5" s="1"/>
  <c r="BA51" i="5" s="1"/>
  <c r="AL104" i="9"/>
  <c r="AN71" i="9"/>
  <c r="CA45" i="5"/>
  <c r="AL26" i="5"/>
  <c r="BF44" i="9"/>
  <c r="AK91" i="9"/>
  <c r="BD44" i="9"/>
  <c r="BG45" i="5"/>
  <c r="BG47" i="5" s="1"/>
  <c r="BG51" i="5" s="1"/>
  <c r="AS45" i="4" s="1"/>
  <c r="AG28" i="5"/>
  <c r="BF26" i="5"/>
  <c r="BA26" i="5"/>
  <c r="BE26" i="5"/>
  <c r="BZ45" i="5"/>
  <c r="AZ149" i="9"/>
  <c r="BE45" i="5"/>
  <c r="BE47" i="5" s="1"/>
  <c r="BE51" i="5" s="1"/>
  <c r="CB173" i="9"/>
  <c r="CB175" i="9" s="1"/>
  <c r="CB177" i="9" s="1"/>
  <c r="CE49" i="5" s="1"/>
  <c r="AM104" i="9"/>
  <c r="BZ173" i="9"/>
  <c r="BZ175" i="9" s="1"/>
  <c r="BZ177" i="9" s="1"/>
  <c r="CC49" i="5" s="1"/>
  <c r="AO102" i="9"/>
  <c r="AN89" i="9"/>
  <c r="AL45" i="5"/>
  <c r="AL47" i="5" s="1"/>
  <c r="AM71" i="9"/>
  <c r="AN102" i="9"/>
  <c r="AK104" i="9"/>
  <c r="AN70" i="9"/>
  <c r="AL102" i="9"/>
  <c r="AM91" i="9"/>
  <c r="AO91" i="9"/>
  <c r="AL71" i="9"/>
  <c r="BV173" i="9"/>
  <c r="BV175" i="9" s="1"/>
  <c r="BY47" i="5" s="1"/>
  <c r="CC20" i="5"/>
  <c r="CC23" i="5" s="1"/>
  <c r="BA122" i="9"/>
  <c r="AY122" i="9" s="1"/>
  <c r="AW122" i="9" s="1"/>
  <c r="BA149" i="9"/>
  <c r="AY149" i="9" s="1"/>
  <c r="AI26" i="5"/>
  <c r="AM102" i="9"/>
  <c r="AZ124" i="9"/>
  <c r="AX124" i="9" s="1"/>
  <c r="AV124" i="9" s="1"/>
  <c r="AV45" i="5"/>
  <c r="AV47" i="5" s="1"/>
  <c r="AU29" i="5"/>
  <c r="AK102" i="9"/>
  <c r="BA147" i="9"/>
  <c r="AY147" i="9" s="1"/>
  <c r="AW147" i="9" s="1"/>
  <c r="BD26" i="5"/>
  <c r="BG26" i="5"/>
  <c r="AP81" i="9"/>
  <c r="AP103" i="9"/>
  <c r="AO30" i="5"/>
  <c r="AK71" i="9"/>
  <c r="BA135" i="9"/>
  <c r="AY135" i="9" s="1"/>
  <c r="AL91" i="9"/>
  <c r="AK70" i="9"/>
  <c r="AM70" i="9"/>
  <c r="AU175" i="9"/>
  <c r="AN103" i="9"/>
  <c r="AD88" i="9"/>
  <c r="M88" i="9" s="1"/>
  <c r="AV23" i="5"/>
  <c r="BA136" i="9"/>
  <c r="AY136" i="9" s="1"/>
  <c r="AM103" i="9"/>
  <c r="AZ125" i="9"/>
  <c r="AG31" i="5"/>
  <c r="AN91" i="9"/>
  <c r="AL103" i="9"/>
  <c r="AO70" i="9"/>
  <c r="BY26" i="5"/>
  <c r="BY45" i="5" s="1"/>
  <c r="AI173" i="9"/>
  <c r="BA173" i="9"/>
  <c r="BA179" i="9" s="1"/>
  <c r="BA118" i="9"/>
  <c r="AY118" i="9" s="1"/>
  <c r="AU72" i="9"/>
  <c r="AM89" i="9"/>
  <c r="BD45" i="5"/>
  <c r="BD47" i="5" s="1"/>
  <c r="BD51" i="5" s="1"/>
  <c r="BA112" i="9"/>
  <c r="U34" i="4"/>
  <c r="AM36" i="4"/>
  <c r="Z34" i="4"/>
  <c r="AS36" i="4"/>
  <c r="AK36" i="4"/>
  <c r="AP36" i="4"/>
  <c r="BO36" i="4"/>
  <c r="BO49" i="4" s="1"/>
  <c r="BO51" i="4" s="1"/>
  <c r="AL133" i="6"/>
  <c r="AP42" i="4" s="1"/>
  <c r="AD15" i="4"/>
  <c r="AD17" i="4" s="1"/>
  <c r="AD19" i="4" s="1"/>
  <c r="BK140" i="6"/>
  <c r="BF140" i="6"/>
  <c r="U19" i="4"/>
  <c r="BH140" i="6"/>
  <c r="BH19" i="4"/>
  <c r="AM19" i="4"/>
  <c r="AU12" i="4"/>
  <c r="AU19" i="4" s="1"/>
  <c r="AS19" i="4"/>
  <c r="AO19" i="4"/>
  <c r="AK19" i="4"/>
  <c r="W19" i="4"/>
  <c r="AB19" i="4"/>
  <c r="AC19" i="4"/>
  <c r="AQ19" i="4"/>
  <c r="AN19" i="4"/>
  <c r="BL19" i="4"/>
  <c r="AH40" i="5"/>
  <c r="AG42" i="5"/>
  <c r="AG40" i="5" s="1"/>
  <c r="AH26" i="5"/>
  <c r="CB20" i="5"/>
  <c r="CB23" i="5" s="1"/>
  <c r="AY45" i="5"/>
  <c r="AY47" i="5" s="1"/>
  <c r="AY51" i="5" s="1"/>
  <c r="BC45" i="5"/>
  <c r="BC47" i="5" s="1"/>
  <c r="BC51" i="5" s="1"/>
  <c r="AU31" i="5"/>
  <c r="AI45" i="5"/>
  <c r="AI47" i="5" s="1"/>
  <c r="AI49" i="5" s="1"/>
  <c r="AU42" i="5"/>
  <c r="AU40" i="5" s="1"/>
  <c r="AW30" i="5"/>
  <c r="AW26" i="5" s="1"/>
  <c r="BC30" i="5"/>
  <c r="BC26" i="5" s="1"/>
  <c r="AM81" i="9"/>
  <c r="AL70" i="9"/>
  <c r="AK26" i="5"/>
  <c r="BA150" i="9"/>
  <c r="AY150" i="9" s="1"/>
  <c r="AT173" i="9"/>
  <c r="BF173" i="9"/>
  <c r="AZ173" i="9"/>
  <c r="AZ179" i="9" s="1"/>
  <c r="AL89" i="9"/>
  <c r="AZ126" i="9"/>
  <c r="BA111" i="9"/>
  <c r="AY111" i="9" s="1"/>
  <c r="AK89" i="9"/>
  <c r="AK45" i="5"/>
  <c r="AK47" i="5" s="1"/>
  <c r="AX72" i="9"/>
  <c r="AP72" i="9" s="1"/>
  <c r="AW72" i="9"/>
  <c r="BI16" i="5"/>
  <c r="BI15" i="5" s="1"/>
  <c r="BA125" i="9"/>
  <c r="AY125" i="9" s="1"/>
  <c r="AN81" i="9"/>
  <c r="AY30" i="5"/>
  <c r="AY26" i="5" s="1"/>
  <c r="AL81" i="9"/>
  <c r="AV173" i="9"/>
  <c r="AO81" i="9"/>
  <c r="AS30" i="5"/>
  <c r="AZ136" i="9"/>
  <c r="AR30" i="5"/>
  <c r="AV72" i="9"/>
  <c r="BE23" i="5"/>
  <c r="AX23" i="5"/>
  <c r="AS23" i="5"/>
  <c r="CF47" i="5"/>
  <c r="CF51" i="5" s="1"/>
  <c r="CH47" i="5"/>
  <c r="CH51" i="5" s="1"/>
  <c r="AL19" i="4"/>
  <c r="BJ36" i="4"/>
  <c r="AJ19" i="4"/>
  <c r="AI19" i="4"/>
  <c r="V19" i="4"/>
  <c r="AP19" i="4"/>
  <c r="BG140" i="6"/>
  <c r="AE19" i="4"/>
  <c r="AA19" i="4"/>
  <c r="AF19" i="4"/>
  <c r="BI140" i="6"/>
  <c r="BE140" i="6"/>
  <c r="BX177" i="9"/>
  <c r="CA49" i="5" s="1"/>
  <c r="CA47" i="5"/>
  <c r="BN179" i="9"/>
  <c r="AX134" i="6"/>
  <c r="AX136" i="6" s="1"/>
  <c r="BU173" i="9"/>
  <c r="BW177" i="9"/>
  <c r="BZ49" i="5" s="1"/>
  <c r="BZ47" i="5"/>
  <c r="BO179" i="9"/>
  <c r="AY134" i="6"/>
  <c r="AY136" i="6" s="1"/>
  <c r="AZ135" i="9"/>
  <c r="AX132" i="9"/>
  <c r="AT132" i="9" s="1"/>
  <c r="AW132" i="9"/>
  <c r="BB30" i="5"/>
  <c r="BB26" i="5" s="1"/>
  <c r="AZ111" i="9"/>
  <c r="BF20" i="5"/>
  <c r="AZ150" i="9"/>
  <c r="AU132" i="9"/>
  <c r="AS173" i="9"/>
  <c r="AV30" i="5"/>
  <c r="BA126" i="9"/>
  <c r="AY126" i="9" s="1"/>
  <c r="AJ175" i="9"/>
  <c r="AJ177" i="9" s="1"/>
  <c r="AU179" i="9"/>
  <c r="BB179" i="9"/>
  <c r="AX175" i="9"/>
  <c r="AK81" i="9"/>
  <c r="AZ118" i="9"/>
  <c r="BC175" i="9"/>
  <c r="BB119" i="9"/>
  <c r="AZ119" i="9" s="1"/>
  <c r="BA119" i="9"/>
  <c r="AV132" i="9"/>
  <c r="AP30" i="5"/>
  <c r="AY173" i="9"/>
  <c r="AH173" i="9"/>
  <c r="AD76" i="9"/>
  <c r="M76" i="9" s="1"/>
  <c r="AK103" i="9"/>
  <c r="AN30" i="5"/>
  <c r="BB80" i="9"/>
  <c r="AU16" i="5"/>
  <c r="AT72" i="9"/>
  <c r="AS72" i="9"/>
  <c r="BW28" i="5"/>
  <c r="BW26" i="5" s="1"/>
  <c r="BX28" i="5"/>
  <c r="BX26" i="5" s="1"/>
  <c r="BX45" i="5" s="1"/>
  <c r="H46" i="5" l="1"/>
  <c r="G46" i="5"/>
  <c r="G18" i="5"/>
  <c r="H18" i="5"/>
  <c r="I46" i="5"/>
  <c r="I18" i="5"/>
  <c r="U46" i="5"/>
  <c r="F46" i="5" s="1"/>
  <c r="J46" i="5"/>
  <c r="T18" i="5"/>
  <c r="N16" i="5"/>
  <c r="L16" i="5" s="1"/>
  <c r="J16" i="5" s="1"/>
  <c r="N14" i="5"/>
  <c r="L14" i="5" s="1"/>
  <c r="J14" i="5" s="1"/>
  <c r="T46" i="5"/>
  <c r="S156" i="9"/>
  <c r="C157" i="9"/>
  <c r="C156" i="9" s="1"/>
  <c r="C171" i="9" s="1"/>
  <c r="C65" i="9"/>
  <c r="T156" i="9"/>
  <c r="W42" i="5" s="1"/>
  <c r="W40" i="5" s="1"/>
  <c r="D157" i="9"/>
  <c r="D156" i="9" s="1"/>
  <c r="D171" i="9" s="1"/>
  <c r="Y42" i="5"/>
  <c r="Y40" i="5" s="1"/>
  <c r="AW110" i="9"/>
  <c r="K88" i="9"/>
  <c r="L115" i="9"/>
  <c r="J88" i="9"/>
  <c r="J76" i="9"/>
  <c r="K76" i="9"/>
  <c r="L88" i="9"/>
  <c r="L76" i="9"/>
  <c r="N146" i="9"/>
  <c r="L146" i="9" s="1"/>
  <c r="J146" i="9" s="1"/>
  <c r="N88" i="9"/>
  <c r="B88" i="9"/>
  <c r="N76" i="9"/>
  <c r="B76" i="9"/>
  <c r="V117" i="9"/>
  <c r="X115" i="9"/>
  <c r="N145" i="9"/>
  <c r="L145" i="9" s="1"/>
  <c r="J145" i="9" s="1"/>
  <c r="N142" i="9"/>
  <c r="L142" i="9" s="1"/>
  <c r="J142" i="9" s="1"/>
  <c r="N62" i="9"/>
  <c r="L62" i="9" s="1"/>
  <c r="J62" i="9" s="1"/>
  <c r="N144" i="9"/>
  <c r="L144" i="9" s="1"/>
  <c r="J144" i="9" s="1"/>
  <c r="Q171" i="9"/>
  <c r="T42" i="5"/>
  <c r="T40" i="5" s="1"/>
  <c r="W88" i="9"/>
  <c r="U95" i="9"/>
  <c r="P93" i="9"/>
  <c r="M93" i="9" s="1"/>
  <c r="V76" i="9"/>
  <c r="Y76" i="9"/>
  <c r="X76" i="9"/>
  <c r="U76" i="9"/>
  <c r="W134" i="9"/>
  <c r="Z38" i="5" s="1"/>
  <c r="V140" i="9"/>
  <c r="U140" i="9" s="1"/>
  <c r="T140" i="9" s="1"/>
  <c r="S140" i="9" s="1"/>
  <c r="R140" i="9" s="1"/>
  <c r="V88" i="9"/>
  <c r="U139" i="9"/>
  <c r="S143" i="9"/>
  <c r="X134" i="9"/>
  <c r="AA38" i="5" s="1"/>
  <c r="U88" i="9"/>
  <c r="E88" i="9" s="1"/>
  <c r="Y171" i="9"/>
  <c r="AB42" i="5"/>
  <c r="AB40" i="5" s="1"/>
  <c r="W115" i="9"/>
  <c r="Y114" i="9"/>
  <c r="AB35" i="5" s="1"/>
  <c r="AA42" i="5"/>
  <c r="X171" i="9"/>
  <c r="X88" i="9"/>
  <c r="Y88" i="9"/>
  <c r="AR134" i="6"/>
  <c r="AR136" i="6" s="1"/>
  <c r="W76" i="9"/>
  <c r="Z42" i="5"/>
  <c r="Z40" i="5" s="1"/>
  <c r="W171" i="9"/>
  <c r="W117" i="9"/>
  <c r="U117" i="9" s="1"/>
  <c r="V42" i="5"/>
  <c r="V40" i="5" s="1"/>
  <c r="S171" i="9"/>
  <c r="U42" i="5"/>
  <c r="R171" i="9"/>
  <c r="V50" i="9"/>
  <c r="U50" i="9" s="1"/>
  <c r="W48" i="9"/>
  <c r="Z28" i="5" s="1"/>
  <c r="V95" i="9"/>
  <c r="T95" i="9" s="1"/>
  <c r="BD175" i="9"/>
  <c r="Z89" i="9"/>
  <c r="P89" i="9"/>
  <c r="AA89" i="9"/>
  <c r="AB89" i="9"/>
  <c r="Z81" i="9"/>
  <c r="AA81" i="9"/>
  <c r="P81" i="9"/>
  <c r="AB81" i="9"/>
  <c r="Z103" i="9"/>
  <c r="AA103" i="9"/>
  <c r="P103" i="9"/>
  <c r="AB103" i="9"/>
  <c r="Z102" i="9"/>
  <c r="AA102" i="9"/>
  <c r="P102" i="9"/>
  <c r="AB102" i="9"/>
  <c r="Z104" i="9"/>
  <c r="AA104" i="9"/>
  <c r="P104" i="9"/>
  <c r="AB104" i="9"/>
  <c r="Z114" i="9"/>
  <c r="AC35" i="5" s="1"/>
  <c r="AK49" i="5"/>
  <c r="AK51" i="5" s="1"/>
  <c r="AL49" i="5"/>
  <c r="AL51" i="5" s="1"/>
  <c r="AM49" i="5"/>
  <c r="AM51" i="5" s="1"/>
  <c r="AD75" i="6"/>
  <c r="AU26" i="5"/>
  <c r="AG23" i="5"/>
  <c r="J62" i="18"/>
  <c r="J63" i="18" s="1"/>
  <c r="BI29" i="5"/>
  <c r="BI26" i="5" s="1"/>
  <c r="I65" i="18" s="1"/>
  <c r="I70" i="18" s="1"/>
  <c r="I71" i="18" s="1"/>
  <c r="BN45" i="5"/>
  <c r="BN47" i="5" s="1"/>
  <c r="BN51" i="5" s="1"/>
  <c r="AZ45" i="5"/>
  <c r="AZ47" i="5" s="1"/>
  <c r="AZ51" i="5" s="1"/>
  <c r="AZ26" i="5"/>
  <c r="BW20" i="5"/>
  <c r="BW23" i="5" s="1"/>
  <c r="BP51" i="5"/>
  <c r="BA45" i="4" s="1"/>
  <c r="BA47" i="4" s="1"/>
  <c r="BF175" i="9"/>
  <c r="BD45" i="4"/>
  <c r="BD47" i="4" s="1"/>
  <c r="AZ134" i="6"/>
  <c r="AZ136" i="6" s="1"/>
  <c r="BT175" i="9"/>
  <c r="BW47" i="5" s="1"/>
  <c r="BW51" i="5" s="1"/>
  <c r="BT179" i="9"/>
  <c r="BL51" i="5"/>
  <c r="AN20" i="5"/>
  <c r="BW45" i="5"/>
  <c r="J65" i="18"/>
  <c r="J70" i="18" s="1"/>
  <c r="J71" i="18" s="1"/>
  <c r="AU45" i="5"/>
  <c r="H67" i="18"/>
  <c r="AU20" i="5"/>
  <c r="H59" i="18"/>
  <c r="H62" i="18" s="1"/>
  <c r="H63" i="18" s="1"/>
  <c r="BI20" i="5"/>
  <c r="I60" i="18"/>
  <c r="I62" i="18" s="1"/>
  <c r="I63" i="18" s="1"/>
  <c r="G59" i="18"/>
  <c r="F59" i="18"/>
  <c r="AK133" i="6"/>
  <c r="AO42" i="4" s="1"/>
  <c r="X11" i="4"/>
  <c r="X12" i="4" s="1"/>
  <c r="X19" i="4" s="1"/>
  <c r="AR33" i="5"/>
  <c r="AP33" i="5"/>
  <c r="AX110" i="9"/>
  <c r="AV110" i="9" s="1"/>
  <c r="AX148" i="9"/>
  <c r="AV148" i="9" s="1"/>
  <c r="AT148" i="9" s="1"/>
  <c r="AX127" i="9"/>
  <c r="AV127" i="9" s="1"/>
  <c r="AT127" i="9" s="1"/>
  <c r="AW175" i="9"/>
  <c r="AW149" i="9"/>
  <c r="BD179" i="9"/>
  <c r="AD104" i="9"/>
  <c r="M104" i="9" s="1"/>
  <c r="BV177" i="9"/>
  <c r="BI179" i="9"/>
  <c r="AS134" i="6" s="1"/>
  <c r="AS136" i="6" s="1"/>
  <c r="BM45" i="4"/>
  <c r="BM47" i="4" s="1"/>
  <c r="BM49" i="4" s="1"/>
  <c r="BM51" i="4" s="1"/>
  <c r="CC47" i="5"/>
  <c r="CC51" i="5" s="1"/>
  <c r="AX126" i="9"/>
  <c r="AV126" i="9" s="1"/>
  <c r="AD99" i="9"/>
  <c r="AW150" i="9"/>
  <c r="AD102" i="9"/>
  <c r="M102" i="9" s="1"/>
  <c r="AX147" i="9"/>
  <c r="AV147" i="9" s="1"/>
  <c r="AT147" i="9" s="1"/>
  <c r="AX135" i="9"/>
  <c r="AV135" i="9" s="1"/>
  <c r="AD100" i="9"/>
  <c r="BU51" i="5"/>
  <c r="BF45" i="4" s="1"/>
  <c r="AW126" i="9"/>
  <c r="AW124" i="9"/>
  <c r="AU124" i="9" s="1"/>
  <c r="AS124" i="9" s="1"/>
  <c r="AX122" i="9"/>
  <c r="AV122" i="9" s="1"/>
  <c r="AT122" i="9" s="1"/>
  <c r="AX118" i="9"/>
  <c r="AV118" i="9" s="1"/>
  <c r="AX149" i="9"/>
  <c r="AV149" i="9" s="1"/>
  <c r="AO134" i="6"/>
  <c r="AD103" i="9"/>
  <c r="M103" i="9" s="1"/>
  <c r="AX136" i="9"/>
  <c r="AV136" i="9" s="1"/>
  <c r="AW118" i="9"/>
  <c r="AD89" i="9"/>
  <c r="M89" i="9" s="1"/>
  <c r="AZ175" i="9"/>
  <c r="AO33" i="5"/>
  <c r="AG30" i="5"/>
  <c r="BF179" i="9"/>
  <c r="AW125" i="9"/>
  <c r="BA175" i="9"/>
  <c r="AI175" i="9"/>
  <c r="AI177" i="9" s="1"/>
  <c r="AI179" i="9"/>
  <c r="AO72" i="9"/>
  <c r="AQ33" i="5"/>
  <c r="AY112" i="9"/>
  <c r="AW112" i="9" s="1"/>
  <c r="AX112" i="9"/>
  <c r="AL72" i="9"/>
  <c r="BW179" i="9"/>
  <c r="BY177" i="9"/>
  <c r="CB49" i="5" s="1"/>
  <c r="CB51" i="5" s="1"/>
  <c r="BT51" i="5"/>
  <c r="BE45" i="4" s="1"/>
  <c r="BE47" i="4" s="1"/>
  <c r="BL45" i="4"/>
  <c r="BL47" i="4" s="1"/>
  <c r="BL49" i="4" s="1"/>
  <c r="BL51" i="4" s="1"/>
  <c r="BM179" i="9"/>
  <c r="AW134" i="6" s="1"/>
  <c r="AW136" i="6" s="1"/>
  <c r="AH45" i="5"/>
  <c r="CE51" i="5"/>
  <c r="CA51" i="5"/>
  <c r="AX125" i="9"/>
  <c r="AV125" i="9" s="1"/>
  <c r="AX150" i="9"/>
  <c r="AV150" i="9" s="1"/>
  <c r="BX179" i="9"/>
  <c r="AW136" i="9"/>
  <c r="AT175" i="9"/>
  <c r="AT179" i="9"/>
  <c r="AN72" i="9"/>
  <c r="AM72" i="9"/>
  <c r="AY119" i="9"/>
  <c r="AW119" i="9" s="1"/>
  <c r="AX111" i="9"/>
  <c r="AV111" i="9" s="1"/>
  <c r="AW135" i="9"/>
  <c r="CB179" i="9"/>
  <c r="AV41" i="9"/>
  <c r="AV44" i="9" s="1"/>
  <c r="AI51" i="5"/>
  <c r="AP132" i="9"/>
  <c r="AT134" i="6"/>
  <c r="AT136" i="6" s="1"/>
  <c r="AX45" i="4"/>
  <c r="AX47" i="4" s="1"/>
  <c r="AZ80" i="9"/>
  <c r="AU134" i="6"/>
  <c r="AU136" i="6" s="1"/>
  <c r="AY45" i="4"/>
  <c r="AY47" i="4" s="1"/>
  <c r="AN33" i="5"/>
  <c r="AX119" i="9"/>
  <c r="BZ179" i="9"/>
  <c r="AY80" i="9"/>
  <c r="AV51" i="5"/>
  <c r="AK72" i="9"/>
  <c r="AY175" i="9"/>
  <c r="AY179" i="9"/>
  <c r="AD81" i="9"/>
  <c r="M81" i="9" s="1"/>
  <c r="AR173" i="9"/>
  <c r="BF23" i="5"/>
  <c r="BF47" i="5"/>
  <c r="BF51" i="5" s="1"/>
  <c r="AR45" i="4" s="1"/>
  <c r="AQ45" i="4" s="1"/>
  <c r="AP45" i="4" s="1"/>
  <c r="AO45" i="4" s="1"/>
  <c r="AN45" i="4" s="1"/>
  <c r="AM45" i="4" s="1"/>
  <c r="BZ51" i="5"/>
  <c r="BU175" i="9"/>
  <c r="AH175" i="9"/>
  <c r="AH177" i="9" s="1"/>
  <c r="AH179" i="9"/>
  <c r="AW111" i="9"/>
  <c r="AV26" i="5"/>
  <c r="AS179" i="9"/>
  <c r="AS175" i="9"/>
  <c r="AS132" i="9"/>
  <c r="K16" i="5" l="1"/>
  <c r="I16" i="5" s="1"/>
  <c r="G16" i="5" s="1"/>
  <c r="K14" i="5"/>
  <c r="I14" i="5" s="1"/>
  <c r="G14" i="5" s="1"/>
  <c r="AT110" i="9"/>
  <c r="T171" i="9"/>
  <c r="G88" i="9"/>
  <c r="J115" i="9"/>
  <c r="E76" i="9"/>
  <c r="F88" i="9"/>
  <c r="F76" i="9"/>
  <c r="G76" i="9"/>
  <c r="H142" i="9"/>
  <c r="F142" i="9" s="1"/>
  <c r="D142" i="9" s="1"/>
  <c r="S76" i="9"/>
  <c r="C76" i="9" s="1"/>
  <c r="H76" i="9"/>
  <c r="H144" i="9"/>
  <c r="F144" i="9" s="1"/>
  <c r="D144" i="9" s="1"/>
  <c r="H88" i="9"/>
  <c r="T76" i="9"/>
  <c r="D76" i="9" s="1"/>
  <c r="I76" i="9"/>
  <c r="T88" i="9"/>
  <c r="D88" i="9" s="1"/>
  <c r="I88" i="9"/>
  <c r="J103" i="9"/>
  <c r="J81" i="9"/>
  <c r="K104" i="9"/>
  <c r="K81" i="9"/>
  <c r="J104" i="9"/>
  <c r="J102" i="9"/>
  <c r="J89" i="9"/>
  <c r="L103" i="9"/>
  <c r="K102" i="9"/>
  <c r="K89" i="9"/>
  <c r="X114" i="9"/>
  <c r="AA35" i="5" s="1"/>
  <c r="K115" i="9"/>
  <c r="K62" i="9"/>
  <c r="I62" i="9" s="1"/>
  <c r="G62" i="9" s="1"/>
  <c r="K142" i="9"/>
  <c r="I142" i="9" s="1"/>
  <c r="G142" i="9" s="1"/>
  <c r="K145" i="9"/>
  <c r="I145" i="9" s="1"/>
  <c r="G145" i="9" s="1"/>
  <c r="K103" i="9"/>
  <c r="K144" i="9"/>
  <c r="I144" i="9" s="1"/>
  <c r="G144" i="9" s="1"/>
  <c r="K93" i="9"/>
  <c r="I93" i="9" s="1"/>
  <c r="G93" i="9" s="1"/>
  <c r="V134" i="9"/>
  <c r="Y38" i="5" s="1"/>
  <c r="L104" i="9"/>
  <c r="L81" i="9"/>
  <c r="K146" i="9"/>
  <c r="I146" i="9" s="1"/>
  <c r="G146" i="9" s="1"/>
  <c r="L89" i="9"/>
  <c r="L102" i="9"/>
  <c r="V115" i="9"/>
  <c r="I115" i="9" s="1"/>
  <c r="N89" i="9"/>
  <c r="B89" i="9"/>
  <c r="N93" i="9"/>
  <c r="L93" i="9" s="1"/>
  <c r="J93" i="9" s="1"/>
  <c r="N102" i="9"/>
  <c r="B102" i="9"/>
  <c r="N103" i="9"/>
  <c r="B103" i="9"/>
  <c r="W89" i="9"/>
  <c r="N81" i="9"/>
  <c r="B81" i="9"/>
  <c r="N104" i="9"/>
  <c r="B104" i="9"/>
  <c r="R88" i="9"/>
  <c r="Q88" i="9"/>
  <c r="AA40" i="5"/>
  <c r="S42" i="5"/>
  <c r="E40" i="5" s="1"/>
  <c r="U81" i="9"/>
  <c r="Q140" i="9"/>
  <c r="P140" i="9" s="1"/>
  <c r="M140" i="9" s="1"/>
  <c r="W102" i="9"/>
  <c r="R76" i="9"/>
  <c r="U104" i="9"/>
  <c r="Q76" i="9"/>
  <c r="V104" i="9"/>
  <c r="T139" i="9"/>
  <c r="U134" i="9"/>
  <c r="V102" i="9"/>
  <c r="Y104" i="9"/>
  <c r="X104" i="9"/>
  <c r="H104" i="9" s="1"/>
  <c r="U102" i="9"/>
  <c r="U89" i="9"/>
  <c r="S95" i="9"/>
  <c r="Q95" i="9" s="1"/>
  <c r="Y89" i="9"/>
  <c r="X89" i="9"/>
  <c r="W103" i="9"/>
  <c r="W114" i="9"/>
  <c r="Z35" i="5" s="1"/>
  <c r="U115" i="9"/>
  <c r="R95" i="9"/>
  <c r="Y81" i="9"/>
  <c r="X81" i="9"/>
  <c r="X102" i="9"/>
  <c r="Y102" i="9"/>
  <c r="V103" i="9"/>
  <c r="S88" i="9"/>
  <c r="S117" i="9"/>
  <c r="V89" i="9"/>
  <c r="X103" i="9"/>
  <c r="Y103" i="9"/>
  <c r="T50" i="9"/>
  <c r="U48" i="9"/>
  <c r="X28" i="5" s="1"/>
  <c r="W104" i="9"/>
  <c r="W81" i="9"/>
  <c r="G81" i="9" s="1"/>
  <c r="R143" i="9"/>
  <c r="Q143" i="9" s="1"/>
  <c r="P143" i="9" s="1"/>
  <c r="M143" i="9" s="1"/>
  <c r="AT125" i="9"/>
  <c r="U103" i="9"/>
  <c r="U40" i="5"/>
  <c r="T117" i="9"/>
  <c r="V81" i="9"/>
  <c r="V48" i="9"/>
  <c r="Y28" i="5" s="1"/>
  <c r="AA100" i="9"/>
  <c r="AB100" i="9"/>
  <c r="BI45" i="5"/>
  <c r="BI47" i="5" s="1"/>
  <c r="BI51" i="5" s="1"/>
  <c r="AU45" i="4" s="1"/>
  <c r="H65" i="18"/>
  <c r="H70" i="18" s="1"/>
  <c r="H71" i="18" s="1"/>
  <c r="I72" i="18"/>
  <c r="I77" i="18" s="1"/>
  <c r="AJ133" i="6"/>
  <c r="AN42" i="4" s="1"/>
  <c r="AU47" i="5"/>
  <c r="F60" i="18"/>
  <c r="F62" i="18" s="1"/>
  <c r="F63" i="18" s="1"/>
  <c r="G60" i="18"/>
  <c r="G62" i="18" s="1"/>
  <c r="G63" i="18" s="1"/>
  <c r="AN23" i="5"/>
  <c r="BV179" i="9"/>
  <c r="J72" i="18"/>
  <c r="J77" i="18" s="1"/>
  <c r="G67" i="18"/>
  <c r="F67" i="18"/>
  <c r="AU23" i="5"/>
  <c r="E12" i="19"/>
  <c r="BI23" i="5"/>
  <c r="AU110" i="9"/>
  <c r="AS110" i="9" s="1"/>
  <c r="AO110" i="9" s="1"/>
  <c r="AU148" i="9"/>
  <c r="AS148" i="9" s="1"/>
  <c r="AP148" i="9" s="1"/>
  <c r="AN148" i="9" s="1"/>
  <c r="AD91" i="9"/>
  <c r="AU127" i="9"/>
  <c r="AS127" i="9" s="1"/>
  <c r="AO127" i="9" s="1"/>
  <c r="AW45" i="4"/>
  <c r="AW47" i="4" s="1"/>
  <c r="AU147" i="9"/>
  <c r="AS147" i="9" s="1"/>
  <c r="AO147" i="9" s="1"/>
  <c r="BY49" i="5"/>
  <c r="BY51" i="5" s="1"/>
  <c r="BI45" i="4"/>
  <c r="BI47" i="4" s="1"/>
  <c r="BI49" i="4" s="1"/>
  <c r="BI51" i="4" s="1"/>
  <c r="AT149" i="9"/>
  <c r="BK45" i="4"/>
  <c r="BK47" i="4" s="1"/>
  <c r="BK49" i="4" s="1"/>
  <c r="BK51" i="4" s="1"/>
  <c r="BJ45" i="4"/>
  <c r="BJ47" i="4" s="1"/>
  <c r="BJ49" i="4" s="1"/>
  <c r="BJ51" i="4" s="1"/>
  <c r="AU135" i="9"/>
  <c r="AS135" i="9" s="1"/>
  <c r="AT126" i="9"/>
  <c r="AT150" i="9"/>
  <c r="AT118" i="9"/>
  <c r="AU122" i="9"/>
  <c r="AS122" i="9" s="1"/>
  <c r="AP122" i="9" s="1"/>
  <c r="AV112" i="9"/>
  <c r="AT112" i="9" s="1"/>
  <c r="AU126" i="9"/>
  <c r="AS126" i="9" s="1"/>
  <c r="AU150" i="9"/>
  <c r="AS150" i="9" s="1"/>
  <c r="AT124" i="9"/>
  <c r="AP124" i="9" s="1"/>
  <c r="AN124" i="9" s="1"/>
  <c r="AT135" i="9"/>
  <c r="AU136" i="9"/>
  <c r="AS136" i="9" s="1"/>
  <c r="AU118" i="9"/>
  <c r="AS118" i="9" s="1"/>
  <c r="AU149" i="9"/>
  <c r="AS149" i="9" s="1"/>
  <c r="AU111" i="9"/>
  <c r="AS111" i="9" s="1"/>
  <c r="AV119" i="9"/>
  <c r="AT119" i="9" s="1"/>
  <c r="AG33" i="5"/>
  <c r="AU125" i="9"/>
  <c r="AS125" i="9" s="1"/>
  <c r="AU112" i="9"/>
  <c r="BY179" i="9"/>
  <c r="AH47" i="5"/>
  <c r="AH49" i="5" s="1"/>
  <c r="AT136" i="9"/>
  <c r="AU119" i="9"/>
  <c r="AR44" i="9"/>
  <c r="AR175" i="9" s="1"/>
  <c r="AL45" i="4"/>
  <c r="AO132" i="9"/>
  <c r="AK132" i="9" s="1"/>
  <c r="AN132" i="9"/>
  <c r="AM132" i="9"/>
  <c r="BU179" i="9"/>
  <c r="BX47" i="5"/>
  <c r="BX51" i="5" s="1"/>
  <c r="AL132" i="9"/>
  <c r="AW80" i="9"/>
  <c r="AT111" i="9"/>
  <c r="AN134" i="6"/>
  <c r="AX80" i="9"/>
  <c r="H14" i="5" l="1"/>
  <c r="F14" i="5" s="1"/>
  <c r="H16" i="5"/>
  <c r="F16" i="5" s="1"/>
  <c r="S40" i="5"/>
  <c r="E67" i="18" s="1"/>
  <c r="Q40" i="5"/>
  <c r="C88" i="9"/>
  <c r="G102" i="9"/>
  <c r="H103" i="9"/>
  <c r="F81" i="9"/>
  <c r="F89" i="9"/>
  <c r="H89" i="9"/>
  <c r="E104" i="9"/>
  <c r="E89" i="9"/>
  <c r="E81" i="9"/>
  <c r="E146" i="9"/>
  <c r="C146" i="9" s="1"/>
  <c r="E103" i="9"/>
  <c r="E145" i="9"/>
  <c r="C145" i="9" s="1"/>
  <c r="E102" i="9"/>
  <c r="E142" i="9"/>
  <c r="C142" i="9" s="1"/>
  <c r="E144" i="9"/>
  <c r="C144" i="9" s="1"/>
  <c r="H81" i="9"/>
  <c r="F102" i="9"/>
  <c r="F103" i="9"/>
  <c r="F104" i="9"/>
  <c r="T115" i="9"/>
  <c r="G115" i="9" s="1"/>
  <c r="G103" i="9"/>
  <c r="G89" i="9"/>
  <c r="V114" i="9"/>
  <c r="Y35" i="5" s="1"/>
  <c r="G104" i="9"/>
  <c r="H62" i="9"/>
  <c r="F62" i="9" s="1"/>
  <c r="D62" i="9" s="1"/>
  <c r="H102" i="9"/>
  <c r="H93" i="9"/>
  <c r="F93" i="9" s="1"/>
  <c r="D93" i="9" s="1"/>
  <c r="S115" i="9"/>
  <c r="H115" i="9"/>
  <c r="H145" i="9"/>
  <c r="F145" i="9" s="1"/>
  <c r="D145" i="9" s="1"/>
  <c r="H146" i="9"/>
  <c r="F146" i="9" s="1"/>
  <c r="D146" i="9" s="1"/>
  <c r="T81" i="9"/>
  <c r="D81" i="9" s="1"/>
  <c r="I81" i="9"/>
  <c r="T102" i="9"/>
  <c r="D102" i="9" s="1"/>
  <c r="I102" i="9"/>
  <c r="T104" i="9"/>
  <c r="D104" i="9" s="1"/>
  <c r="I104" i="9"/>
  <c r="T103" i="9"/>
  <c r="D103" i="9" s="1"/>
  <c r="I103" i="9"/>
  <c r="T89" i="9"/>
  <c r="D89" i="9" s="1"/>
  <c r="I89" i="9"/>
  <c r="P95" i="9"/>
  <c r="M95" i="9" s="1"/>
  <c r="AO125" i="9"/>
  <c r="N140" i="9"/>
  <c r="L140" i="9" s="1"/>
  <c r="J140" i="9" s="1"/>
  <c r="N143" i="9"/>
  <c r="L143" i="9" s="1"/>
  <c r="J143" i="9" s="1"/>
  <c r="Q89" i="9"/>
  <c r="R104" i="9"/>
  <c r="Q102" i="9"/>
  <c r="S81" i="9"/>
  <c r="Q81" i="9"/>
  <c r="Q117" i="9"/>
  <c r="S89" i="9"/>
  <c r="C89" i="9" s="1"/>
  <c r="R115" i="9"/>
  <c r="Q103" i="9"/>
  <c r="R103" i="9"/>
  <c r="Q104" i="9"/>
  <c r="U114" i="9"/>
  <c r="X35" i="5" s="1"/>
  <c r="R81" i="9"/>
  <c r="R102" i="9"/>
  <c r="S50" i="9"/>
  <c r="T48" i="9"/>
  <c r="W28" i="5" s="1"/>
  <c r="R89" i="9"/>
  <c r="S104" i="9"/>
  <c r="S103" i="9"/>
  <c r="C103" i="9" s="1"/>
  <c r="X38" i="5"/>
  <c r="S102" i="9"/>
  <c r="C102" i="9" s="1"/>
  <c r="T114" i="9"/>
  <c r="W35" i="5" s="1"/>
  <c r="R117" i="9"/>
  <c r="S139" i="9"/>
  <c r="T134" i="9"/>
  <c r="Y100" i="9"/>
  <c r="AB91" i="9"/>
  <c r="AE33" i="5" s="1"/>
  <c r="Z100" i="9"/>
  <c r="AI133" i="6"/>
  <c r="AM42" i="4" s="1"/>
  <c r="AM47" i="4" s="1"/>
  <c r="AM49" i="4" s="1"/>
  <c r="AM51" i="4" s="1"/>
  <c r="AA91" i="9"/>
  <c r="AE23" i="5"/>
  <c r="AQ134" i="6"/>
  <c r="AU49" i="5"/>
  <c r="D15" i="19"/>
  <c r="D18" i="19" s="1"/>
  <c r="D11" i="19"/>
  <c r="AN122" i="9"/>
  <c r="AN121" i="9" s="1"/>
  <c r="AN152" i="9" s="1"/>
  <c r="AN173" i="9" s="1"/>
  <c r="AP121" i="9"/>
  <c r="AP152" i="9" s="1"/>
  <c r="H72" i="18"/>
  <c r="H77" i="18" s="1"/>
  <c r="E11" i="19"/>
  <c r="E15" i="19"/>
  <c r="E18" i="19" s="1"/>
  <c r="AP110" i="9"/>
  <c r="AN110" i="9" s="1"/>
  <c r="AL110" i="9" s="1"/>
  <c r="AO148" i="9"/>
  <c r="AM148" i="9" s="1"/>
  <c r="AK148" i="9" s="1"/>
  <c r="AP127" i="9"/>
  <c r="AN127" i="9" s="1"/>
  <c r="AL127" i="9" s="1"/>
  <c r="AO118" i="9"/>
  <c r="AP147" i="9"/>
  <c r="AN147" i="9" s="1"/>
  <c r="AL147" i="9" s="1"/>
  <c r="AP150" i="9"/>
  <c r="AN150" i="9" s="1"/>
  <c r="AO111" i="9"/>
  <c r="AO149" i="9"/>
  <c r="AO126" i="9"/>
  <c r="AO135" i="9"/>
  <c r="AO150" i="9"/>
  <c r="AP135" i="9"/>
  <c r="AN135" i="9" s="1"/>
  <c r="AO122" i="9"/>
  <c r="AO124" i="9"/>
  <c r="AM124" i="9" s="1"/>
  <c r="AK124" i="9" s="1"/>
  <c r="AS112" i="9"/>
  <c r="AP112" i="9" s="1"/>
  <c r="AN112" i="9" s="1"/>
  <c r="AP118" i="9"/>
  <c r="AN118" i="9" s="1"/>
  <c r="AP126" i="9"/>
  <c r="AN126" i="9" s="1"/>
  <c r="AP149" i="9"/>
  <c r="AN149" i="9" s="1"/>
  <c r="AO136" i="9"/>
  <c r="AS119" i="9"/>
  <c r="AP136" i="9"/>
  <c r="AN136" i="9" s="1"/>
  <c r="AP125" i="9"/>
  <c r="AN125" i="9" s="1"/>
  <c r="BH45" i="4"/>
  <c r="BH47" i="4" s="1"/>
  <c r="BH49" i="4" s="1"/>
  <c r="BH51" i="4" s="1"/>
  <c r="AH51" i="5"/>
  <c r="AV179" i="9"/>
  <c r="AV175" i="9"/>
  <c r="AU80" i="9"/>
  <c r="AP111" i="9"/>
  <c r="AN111" i="9" s="1"/>
  <c r="AV80" i="9"/>
  <c r="AK45" i="4"/>
  <c r="AM134" i="6"/>
  <c r="D67" i="18" l="1"/>
  <c r="C104" i="9"/>
  <c r="C81" i="9"/>
  <c r="E62" i="9"/>
  <c r="C62" i="9" s="1"/>
  <c r="AL125" i="9"/>
  <c r="E93" i="9"/>
  <c r="C93" i="9" s="1"/>
  <c r="E115" i="9"/>
  <c r="Q115" i="9"/>
  <c r="F115" i="9"/>
  <c r="S114" i="9"/>
  <c r="V35" i="5" s="1"/>
  <c r="N95" i="9"/>
  <c r="L95" i="9" s="1"/>
  <c r="J95" i="9" s="1"/>
  <c r="K95" i="9"/>
  <c r="I95" i="9" s="1"/>
  <c r="G95" i="9" s="1"/>
  <c r="K143" i="9"/>
  <c r="I143" i="9" s="1"/>
  <c r="G143" i="9" s="1"/>
  <c r="K140" i="9"/>
  <c r="I140" i="9" s="1"/>
  <c r="G140" i="9" s="1"/>
  <c r="P117" i="9"/>
  <c r="M117" i="9" s="1"/>
  <c r="AH133" i="6"/>
  <c r="R139" i="9"/>
  <c r="Q139" i="9" s="1"/>
  <c r="S134" i="9"/>
  <c r="R50" i="9"/>
  <c r="Q50" i="9" s="1"/>
  <c r="S48" i="9"/>
  <c r="V28" i="5" s="1"/>
  <c r="W38" i="5"/>
  <c r="R114" i="9"/>
  <c r="U35" i="5" s="1"/>
  <c r="Z91" i="9"/>
  <c r="AC33" i="5" s="1"/>
  <c r="X100" i="9"/>
  <c r="W100" i="9"/>
  <c r="Y91" i="9"/>
  <c r="AD33" i="5"/>
  <c r="AU51" i="5"/>
  <c r="AH45" i="4" s="1"/>
  <c r="D19" i="19"/>
  <c r="D22" i="19" s="1"/>
  <c r="D23" i="19"/>
  <c r="AQ36" i="5"/>
  <c r="AM122" i="9"/>
  <c r="AM121" i="9" s="1"/>
  <c r="AM152" i="9" s="1"/>
  <c r="AM173" i="9" s="1"/>
  <c r="AO121" i="9"/>
  <c r="AO152" i="9" s="1"/>
  <c r="AS36" i="5"/>
  <c r="AP173" i="9"/>
  <c r="E19" i="19"/>
  <c r="E23" i="19"/>
  <c r="AR177" i="9"/>
  <c r="AR179" i="9" s="1"/>
  <c r="AD111" i="6"/>
  <c r="AM110" i="9"/>
  <c r="AK110" i="9" s="1"/>
  <c r="AL148" i="9"/>
  <c r="AD148" i="9" s="1"/>
  <c r="M148" i="9" s="1"/>
  <c r="AL118" i="9"/>
  <c r="AM127" i="9"/>
  <c r="AK127" i="9" s="1"/>
  <c r="AM147" i="9"/>
  <c r="AK147" i="9" s="1"/>
  <c r="AM150" i="9"/>
  <c r="AK150" i="9" s="1"/>
  <c r="AL150" i="9"/>
  <c r="AL111" i="9"/>
  <c r="AL149" i="9"/>
  <c r="AL135" i="9"/>
  <c r="AL126" i="9"/>
  <c r="AL122" i="9"/>
  <c r="AL121" i="9" s="1"/>
  <c r="AL152" i="9" s="1"/>
  <c r="AL124" i="9"/>
  <c r="AD124" i="9" s="1"/>
  <c r="M124" i="9" s="1"/>
  <c r="AM149" i="9"/>
  <c r="AK149" i="9" s="1"/>
  <c r="AO112" i="9"/>
  <c r="AL112" i="9" s="1"/>
  <c r="AM135" i="9"/>
  <c r="AK135" i="9" s="1"/>
  <c r="AM118" i="9"/>
  <c r="AK118" i="9" s="1"/>
  <c r="AM136" i="9"/>
  <c r="AK136" i="9" s="1"/>
  <c r="AL136" i="9"/>
  <c r="BD134" i="6"/>
  <c r="AM126" i="9"/>
  <c r="AK126" i="9" s="1"/>
  <c r="AR117" i="9"/>
  <c r="AO119" i="9"/>
  <c r="AP119" i="9"/>
  <c r="AN119" i="9" s="1"/>
  <c r="AM125" i="9"/>
  <c r="AK125" i="9" s="1"/>
  <c r="AL42" i="4"/>
  <c r="AL47" i="4" s="1"/>
  <c r="AL49" i="4" s="1"/>
  <c r="AL51" i="4" s="1"/>
  <c r="AG133" i="6"/>
  <c r="AS80" i="9"/>
  <c r="AT80" i="9"/>
  <c r="AL134" i="6"/>
  <c r="AJ45" i="4"/>
  <c r="AM111" i="9"/>
  <c r="AK111" i="9" s="1"/>
  <c r="D115" i="9" l="1"/>
  <c r="C115" i="9"/>
  <c r="Q114" i="9"/>
  <c r="T35" i="5" s="1"/>
  <c r="H95" i="9"/>
  <c r="F95" i="9" s="1"/>
  <c r="D95" i="9" s="1"/>
  <c r="H140" i="9"/>
  <c r="F140" i="9" s="1"/>
  <c r="D140" i="9" s="1"/>
  <c r="H143" i="9"/>
  <c r="F143" i="9" s="1"/>
  <c r="D143" i="9" s="1"/>
  <c r="M114" i="9"/>
  <c r="P114" i="9"/>
  <c r="N124" i="9"/>
  <c r="B124" i="9"/>
  <c r="N117" i="9"/>
  <c r="K117" i="9" s="1"/>
  <c r="B114" i="9"/>
  <c r="N148" i="9"/>
  <c r="B148" i="9"/>
  <c r="Q134" i="9"/>
  <c r="T38" i="5" s="1"/>
  <c r="P139" i="9"/>
  <c r="M139" i="9" s="1"/>
  <c r="Q48" i="9"/>
  <c r="T28" i="5" s="1"/>
  <c r="P50" i="9"/>
  <c r="M50" i="9" s="1"/>
  <c r="S35" i="5"/>
  <c r="X148" i="9"/>
  <c r="Y148" i="9"/>
  <c r="V38" i="5"/>
  <c r="R48" i="9"/>
  <c r="U28" i="5" s="1"/>
  <c r="W91" i="9"/>
  <c r="Z33" i="5" s="1"/>
  <c r="U100" i="9"/>
  <c r="R134" i="9"/>
  <c r="X124" i="9"/>
  <c r="Y124" i="9"/>
  <c r="AB33" i="5"/>
  <c r="V100" i="9"/>
  <c r="T100" i="9" s="1"/>
  <c r="X91" i="9"/>
  <c r="AA124" i="9"/>
  <c r="P124" i="9"/>
  <c r="Z126" i="9"/>
  <c r="P126" i="9"/>
  <c r="AA126" i="9"/>
  <c r="AB126" i="9"/>
  <c r="Z136" i="9"/>
  <c r="P136" i="9"/>
  <c r="AA136" i="9"/>
  <c r="AB136" i="9"/>
  <c r="AB148" i="9"/>
  <c r="AD110" i="9"/>
  <c r="M110" i="9" s="1"/>
  <c r="Z110" i="9"/>
  <c r="P110" i="9"/>
  <c r="AA110" i="9"/>
  <c r="AB110" i="9"/>
  <c r="AA148" i="9"/>
  <c r="AD127" i="9"/>
  <c r="M127" i="9" s="1"/>
  <c r="Z127" i="9"/>
  <c r="P127" i="9"/>
  <c r="AA127" i="9"/>
  <c r="AB127" i="9"/>
  <c r="AD125" i="9"/>
  <c r="M125" i="9" s="1"/>
  <c r="Z125" i="9"/>
  <c r="P125" i="9"/>
  <c r="AA125" i="9"/>
  <c r="AB125" i="9"/>
  <c r="Z135" i="9"/>
  <c r="AA135" i="9"/>
  <c r="P135" i="9"/>
  <c r="AB135" i="9"/>
  <c r="P148" i="9"/>
  <c r="Z118" i="9"/>
  <c r="AA118" i="9"/>
  <c r="AB118" i="9"/>
  <c r="Z148" i="9"/>
  <c r="AD147" i="9"/>
  <c r="M147" i="9" s="1"/>
  <c r="Z147" i="9"/>
  <c r="P147" i="9"/>
  <c r="AA147" i="9"/>
  <c r="AB147" i="9"/>
  <c r="Z124" i="9"/>
  <c r="Z111" i="9"/>
  <c r="P111" i="9"/>
  <c r="AA111" i="9"/>
  <c r="AB111" i="9"/>
  <c r="Z149" i="9"/>
  <c r="P149" i="9"/>
  <c r="AA149" i="9"/>
  <c r="AB149" i="9"/>
  <c r="Z150" i="9"/>
  <c r="P150" i="9"/>
  <c r="AA150" i="9"/>
  <c r="AB150" i="9"/>
  <c r="AB124" i="9"/>
  <c r="D25" i="19"/>
  <c r="E22" i="19"/>
  <c r="E25" i="19" s="1"/>
  <c r="AQ26" i="5"/>
  <c r="AQ45" i="5"/>
  <c r="AQ47" i="5" s="1"/>
  <c r="AO36" i="5"/>
  <c r="AL173" i="9"/>
  <c r="AP179" i="9"/>
  <c r="AP175" i="9"/>
  <c r="AP177" i="9" s="1"/>
  <c r="AR36" i="5"/>
  <c r="AO173" i="9"/>
  <c r="AS26" i="5"/>
  <c r="AS45" i="5"/>
  <c r="AS47" i="5" s="1"/>
  <c r="AK122" i="9"/>
  <c r="AN175" i="9"/>
  <c r="AN177" i="9" s="1"/>
  <c r="AN179" i="9"/>
  <c r="AD126" i="9"/>
  <c r="M126" i="9" s="1"/>
  <c r="AD108" i="6"/>
  <c r="AD107" i="6" s="1"/>
  <c r="AD128" i="6" s="1"/>
  <c r="H50" i="18"/>
  <c r="H57" i="18" s="1"/>
  <c r="H58" i="18" s="1"/>
  <c r="AP36" i="5"/>
  <c r="BB135" i="6"/>
  <c r="BB136" i="6" s="1"/>
  <c r="AD111" i="9"/>
  <c r="M111" i="9" s="1"/>
  <c r="AD149" i="9"/>
  <c r="M149" i="9" s="1"/>
  <c r="AD118" i="9"/>
  <c r="AL119" i="9"/>
  <c r="AD150" i="9"/>
  <c r="M150" i="9" s="1"/>
  <c r="AD135" i="9"/>
  <c r="M135" i="9" s="1"/>
  <c r="BD136" i="6"/>
  <c r="BD138" i="6" s="1"/>
  <c r="BD140" i="6" s="1"/>
  <c r="AD136" i="9"/>
  <c r="M136" i="9" s="1"/>
  <c r="AM112" i="9"/>
  <c r="AK112" i="9" s="1"/>
  <c r="AQ133" i="6"/>
  <c r="AM119" i="9"/>
  <c r="AK119" i="9" s="1"/>
  <c r="AD134" i="6"/>
  <c r="AK42" i="4"/>
  <c r="AK47" i="4" s="1"/>
  <c r="AK49" i="4" s="1"/>
  <c r="AK51" i="4" s="1"/>
  <c r="AF133" i="6"/>
  <c r="AI45" i="4"/>
  <c r="AK134" i="6"/>
  <c r="AO80" i="9"/>
  <c r="AP80" i="9"/>
  <c r="E143" i="9" l="1"/>
  <c r="C143" i="9" s="1"/>
  <c r="E95" i="9"/>
  <c r="C95" i="9" s="1"/>
  <c r="E140" i="9"/>
  <c r="C140" i="9" s="1"/>
  <c r="H124" i="9"/>
  <c r="H148" i="9"/>
  <c r="I124" i="9"/>
  <c r="K114" i="9"/>
  <c r="I148" i="9"/>
  <c r="J149" i="9"/>
  <c r="K136" i="9"/>
  <c r="J127" i="9"/>
  <c r="K127" i="9"/>
  <c r="J124" i="9"/>
  <c r="J135" i="9"/>
  <c r="J150" i="9"/>
  <c r="J126" i="9"/>
  <c r="K125" i="9"/>
  <c r="J110" i="9"/>
  <c r="K111" i="9"/>
  <c r="J111" i="9"/>
  <c r="J136" i="9"/>
  <c r="K148" i="9"/>
  <c r="J147" i="9"/>
  <c r="J148" i="9"/>
  <c r="J125" i="9"/>
  <c r="K110" i="9"/>
  <c r="M134" i="9"/>
  <c r="K135" i="9"/>
  <c r="K126" i="9"/>
  <c r="K147" i="9"/>
  <c r="K149" i="9"/>
  <c r="K124" i="9"/>
  <c r="K150" i="9"/>
  <c r="M48" i="9"/>
  <c r="L111" i="9"/>
  <c r="L127" i="9"/>
  <c r="L136" i="9"/>
  <c r="W124" i="9"/>
  <c r="L124" i="9"/>
  <c r="L110" i="9"/>
  <c r="N114" i="9"/>
  <c r="L117" i="9"/>
  <c r="I117" i="9" s="1"/>
  <c r="W148" i="9"/>
  <c r="L148" i="9"/>
  <c r="L150" i="9"/>
  <c r="L126" i="9"/>
  <c r="L147" i="9"/>
  <c r="L125" i="9"/>
  <c r="L135" i="9"/>
  <c r="L149" i="9"/>
  <c r="W147" i="9"/>
  <c r="N50" i="9"/>
  <c r="K50" i="9" s="1"/>
  <c r="B48" i="9"/>
  <c r="N139" i="9"/>
  <c r="K139" i="9" s="1"/>
  <c r="B134" i="9"/>
  <c r="N125" i="9"/>
  <c r="B125" i="9"/>
  <c r="N126" i="9"/>
  <c r="B126" i="9"/>
  <c r="W110" i="9"/>
  <c r="N110" i="9"/>
  <c r="B110" i="9"/>
  <c r="N135" i="9"/>
  <c r="B135" i="9"/>
  <c r="N127" i="9"/>
  <c r="B127" i="9"/>
  <c r="V148" i="9"/>
  <c r="F148" i="9" s="1"/>
  <c r="S28" i="5"/>
  <c r="N150" i="9"/>
  <c r="B150" i="9"/>
  <c r="N136" i="9"/>
  <c r="B136" i="9"/>
  <c r="N149" i="9"/>
  <c r="B149" i="9"/>
  <c r="N111" i="9"/>
  <c r="B111" i="9"/>
  <c r="P48" i="9"/>
  <c r="N147" i="9"/>
  <c r="B147" i="9"/>
  <c r="W136" i="9"/>
  <c r="P134" i="9"/>
  <c r="S38" i="5"/>
  <c r="U124" i="9"/>
  <c r="E124" i="9" s="1"/>
  <c r="W150" i="9"/>
  <c r="V150" i="9"/>
  <c r="V135" i="9"/>
  <c r="V110" i="9"/>
  <c r="W118" i="9"/>
  <c r="X149" i="9"/>
  <c r="Y149" i="9"/>
  <c r="X118" i="9"/>
  <c r="Y118" i="9"/>
  <c r="T118" i="9" s="1"/>
  <c r="U38" i="5"/>
  <c r="Y111" i="9"/>
  <c r="X111" i="9"/>
  <c r="H111" i="9" s="1"/>
  <c r="U135" i="9"/>
  <c r="V147" i="9"/>
  <c r="S100" i="9"/>
  <c r="U91" i="9"/>
  <c r="X33" i="5" s="1"/>
  <c r="U147" i="9"/>
  <c r="U110" i="9"/>
  <c r="U148" i="9"/>
  <c r="Y110" i="9"/>
  <c r="X110" i="9"/>
  <c r="X136" i="9"/>
  <c r="Y136" i="9"/>
  <c r="U149" i="9"/>
  <c r="E149" i="9" s="1"/>
  <c r="W127" i="9"/>
  <c r="U118" i="9"/>
  <c r="V127" i="9"/>
  <c r="V136" i="9"/>
  <c r="U150" i="9"/>
  <c r="U126" i="9"/>
  <c r="W149" i="9"/>
  <c r="G149" i="9" s="1"/>
  <c r="V149" i="9"/>
  <c r="F149" i="9" s="1"/>
  <c r="X147" i="9"/>
  <c r="Y147" i="9"/>
  <c r="U125" i="9"/>
  <c r="V118" i="9"/>
  <c r="R100" i="9"/>
  <c r="T91" i="9"/>
  <c r="W33" i="5" s="1"/>
  <c r="X135" i="9"/>
  <c r="Y135" i="9"/>
  <c r="V111" i="9"/>
  <c r="X150" i="9"/>
  <c r="Y150" i="9"/>
  <c r="T124" i="9"/>
  <c r="T148" i="9"/>
  <c r="D148" i="9" s="1"/>
  <c r="W111" i="9"/>
  <c r="U111" i="9"/>
  <c r="W135" i="9"/>
  <c r="U127" i="9"/>
  <c r="U136" i="9"/>
  <c r="S124" i="9"/>
  <c r="S148" i="9"/>
  <c r="W126" i="9"/>
  <c r="V126" i="9"/>
  <c r="Y126" i="9"/>
  <c r="X126" i="9"/>
  <c r="H126" i="9" s="1"/>
  <c r="X125" i="9"/>
  <c r="Y125" i="9"/>
  <c r="W125" i="9"/>
  <c r="G125" i="9" s="1"/>
  <c r="V125" i="9"/>
  <c r="F125" i="9" s="1"/>
  <c r="X127" i="9"/>
  <c r="Y127" i="9"/>
  <c r="V124" i="9"/>
  <c r="AA33" i="5"/>
  <c r="V91" i="9"/>
  <c r="Y33" i="5" s="1"/>
  <c r="AD112" i="9"/>
  <c r="M112" i="9" s="1"/>
  <c r="Z112" i="9"/>
  <c r="P112" i="9"/>
  <c r="AA112" i="9"/>
  <c r="AB112" i="9"/>
  <c r="AD119" i="9"/>
  <c r="M119" i="9" s="1"/>
  <c r="Z119" i="9"/>
  <c r="AA119" i="9"/>
  <c r="P119" i="9"/>
  <c r="AB119" i="9"/>
  <c r="AQ49" i="5"/>
  <c r="AQ51" i="5" s="1"/>
  <c r="AS49" i="5"/>
  <c r="AS51" i="5" s="1"/>
  <c r="AF45" i="4" s="1"/>
  <c r="AB134" i="6" s="1"/>
  <c r="AB111" i="6"/>
  <c r="AB108" i="6" s="1"/>
  <c r="AB107" i="6" s="1"/>
  <c r="AO179" i="9"/>
  <c r="AO175" i="9"/>
  <c r="AO177" i="9" s="1"/>
  <c r="Z111" i="6" s="1"/>
  <c r="Z108" i="6" s="1"/>
  <c r="Z107" i="6" s="1"/>
  <c r="AR26" i="5"/>
  <c r="AR45" i="5"/>
  <c r="AR47" i="5" s="1"/>
  <c r="AL175" i="9"/>
  <c r="AL177" i="9" s="1"/>
  <c r="AL179" i="9"/>
  <c r="AD122" i="9"/>
  <c r="AK121" i="9"/>
  <c r="AK152" i="9" s="1"/>
  <c r="AK173" i="9" s="1"/>
  <c r="AO45" i="5"/>
  <c r="AO47" i="5" s="1"/>
  <c r="AO26" i="5"/>
  <c r="AH28" i="4"/>
  <c r="AH30" i="4" s="1"/>
  <c r="AH36" i="4" s="1"/>
  <c r="AM175" i="9"/>
  <c r="AM177" i="9" s="1"/>
  <c r="AM179" i="9"/>
  <c r="AP45" i="5"/>
  <c r="AP47" i="5" s="1"/>
  <c r="AP26" i="5"/>
  <c r="BF44" i="4"/>
  <c r="BF47" i="4" s="1"/>
  <c r="AQ135" i="6"/>
  <c r="AU44" i="4" s="1"/>
  <c r="AU42" i="4"/>
  <c r="AE133" i="6"/>
  <c r="AI42" i="4" s="1"/>
  <c r="AI47" i="4" s="1"/>
  <c r="AI49" i="4" s="1"/>
  <c r="AI51" i="4" s="1"/>
  <c r="AJ42" i="4"/>
  <c r="AJ47" i="4" s="1"/>
  <c r="AJ49" i="4" s="1"/>
  <c r="AJ51" i="4" s="1"/>
  <c r="AM80" i="9"/>
  <c r="AN80" i="9"/>
  <c r="AJ134" i="6"/>
  <c r="C124" i="9" l="1"/>
  <c r="C148" i="9"/>
  <c r="D124" i="9"/>
  <c r="E135" i="9"/>
  <c r="G150" i="9"/>
  <c r="G110" i="9"/>
  <c r="H110" i="9"/>
  <c r="E111" i="9"/>
  <c r="E127" i="9"/>
  <c r="E110" i="9"/>
  <c r="E126" i="9"/>
  <c r="E147" i="9"/>
  <c r="E125" i="9"/>
  <c r="F127" i="9"/>
  <c r="E148" i="9"/>
  <c r="E150" i="9"/>
  <c r="E136" i="9"/>
  <c r="F147" i="9"/>
  <c r="F150" i="9"/>
  <c r="F135" i="9"/>
  <c r="Q124" i="9"/>
  <c r="F124" i="9"/>
  <c r="F126" i="9"/>
  <c r="F111" i="9"/>
  <c r="F136" i="9"/>
  <c r="F110" i="9"/>
  <c r="G147" i="9"/>
  <c r="G127" i="9"/>
  <c r="G135" i="9"/>
  <c r="G111" i="9"/>
  <c r="R148" i="9"/>
  <c r="G148" i="9"/>
  <c r="I114" i="9"/>
  <c r="R124" i="9"/>
  <c r="G124" i="9"/>
  <c r="G136" i="9"/>
  <c r="G126" i="9"/>
  <c r="H136" i="9"/>
  <c r="H147" i="9"/>
  <c r="H135" i="9"/>
  <c r="H127" i="9"/>
  <c r="H150" i="9"/>
  <c r="H149" i="9"/>
  <c r="H125" i="9"/>
  <c r="T127" i="9"/>
  <c r="D127" i="9" s="1"/>
  <c r="I127" i="9"/>
  <c r="K48" i="9"/>
  <c r="T135" i="9"/>
  <c r="D135" i="9" s="1"/>
  <c r="I135" i="9"/>
  <c r="T111" i="9"/>
  <c r="D111" i="9" s="1"/>
  <c r="I111" i="9"/>
  <c r="T136" i="9"/>
  <c r="D136" i="9" s="1"/>
  <c r="I136" i="9"/>
  <c r="T125" i="9"/>
  <c r="D125" i="9" s="1"/>
  <c r="I125" i="9"/>
  <c r="T110" i="9"/>
  <c r="D110" i="9" s="1"/>
  <c r="I110" i="9"/>
  <c r="T147" i="9"/>
  <c r="D147" i="9" s="1"/>
  <c r="I147" i="9"/>
  <c r="J112" i="9"/>
  <c r="T126" i="9"/>
  <c r="D126" i="9" s="1"/>
  <c r="I126" i="9"/>
  <c r="T150" i="9"/>
  <c r="D150" i="9" s="1"/>
  <c r="I150" i="9"/>
  <c r="R149" i="9"/>
  <c r="T149" i="9"/>
  <c r="D149" i="9" s="1"/>
  <c r="I149" i="9"/>
  <c r="K134" i="9"/>
  <c r="J119" i="9"/>
  <c r="L114" i="9"/>
  <c r="J117" i="9"/>
  <c r="G117" i="9" s="1"/>
  <c r="L112" i="9"/>
  <c r="K112" i="9"/>
  <c r="K119" i="9"/>
  <c r="R125" i="9"/>
  <c r="Q148" i="9"/>
  <c r="N134" i="9"/>
  <c r="L139" i="9"/>
  <c r="I139" i="9" s="1"/>
  <c r="L119" i="9"/>
  <c r="N48" i="9"/>
  <c r="L50" i="9"/>
  <c r="I50" i="9" s="1"/>
  <c r="Q125" i="9"/>
  <c r="Q147" i="9"/>
  <c r="N119" i="9"/>
  <c r="B119" i="9"/>
  <c r="N112" i="9"/>
  <c r="B112" i="9"/>
  <c r="Q149" i="9"/>
  <c r="S147" i="9"/>
  <c r="S136" i="9"/>
  <c r="C136" i="9" s="1"/>
  <c r="R136" i="9"/>
  <c r="W119" i="9"/>
  <c r="Q136" i="9"/>
  <c r="Q110" i="9"/>
  <c r="Q135" i="9"/>
  <c r="Q126" i="9"/>
  <c r="Q118" i="9"/>
  <c r="Q150" i="9"/>
  <c r="R126" i="9"/>
  <c r="Q111" i="9"/>
  <c r="Q127" i="9"/>
  <c r="W112" i="9"/>
  <c r="S91" i="9"/>
  <c r="V33" i="5" s="1"/>
  <c r="Q100" i="9"/>
  <c r="S126" i="9"/>
  <c r="C126" i="9" s="1"/>
  <c r="S111" i="9"/>
  <c r="C111" i="9" s="1"/>
  <c r="S110" i="9"/>
  <c r="R110" i="9"/>
  <c r="U119" i="9"/>
  <c r="S127" i="9"/>
  <c r="S135" i="9"/>
  <c r="C135" i="9" s="1"/>
  <c r="S150" i="9"/>
  <c r="C150" i="9" s="1"/>
  <c r="R135" i="9"/>
  <c r="R91" i="9"/>
  <c r="U33" i="5" s="1"/>
  <c r="X119" i="9"/>
  <c r="Y119" i="9"/>
  <c r="R127" i="9"/>
  <c r="V112" i="9"/>
  <c r="S125" i="9"/>
  <c r="R111" i="9"/>
  <c r="S118" i="9"/>
  <c r="R150" i="9"/>
  <c r="U112" i="9"/>
  <c r="R118" i="9"/>
  <c r="R147" i="9"/>
  <c r="V119" i="9"/>
  <c r="Y112" i="9"/>
  <c r="X112" i="9"/>
  <c r="H112" i="9" s="1"/>
  <c r="S149" i="9"/>
  <c r="C149" i="9" s="1"/>
  <c r="AA111" i="6"/>
  <c r="AA108" i="6" s="1"/>
  <c r="AA107" i="6" s="1"/>
  <c r="AE28" i="4" s="1"/>
  <c r="AE30" i="4" s="1"/>
  <c r="AE36" i="4" s="1"/>
  <c r="AD121" i="9"/>
  <c r="AB122" i="9"/>
  <c r="X111" i="6"/>
  <c r="X108" i="6" s="1"/>
  <c r="X107" i="6" s="1"/>
  <c r="Y111" i="6"/>
  <c r="Y108" i="6" s="1"/>
  <c r="Y107" i="6" s="1"/>
  <c r="AC28" i="4" s="1"/>
  <c r="AC30" i="4" s="1"/>
  <c r="AC36" i="4" s="1"/>
  <c r="AR49" i="5"/>
  <c r="AR51" i="5" s="1"/>
  <c r="AB128" i="6"/>
  <c r="AF28" i="4"/>
  <c r="AF30" i="4" s="1"/>
  <c r="AF36" i="4" s="1"/>
  <c r="AP49" i="5"/>
  <c r="AP51" i="5" s="1"/>
  <c r="AD28" i="4"/>
  <c r="AD30" i="4" s="1"/>
  <c r="AD36" i="4" s="1"/>
  <c r="Z128" i="6"/>
  <c r="AO49" i="5"/>
  <c r="AO51" i="5" s="1"/>
  <c r="AN36" i="5"/>
  <c r="AQ136" i="6"/>
  <c r="AQ138" i="6" s="1"/>
  <c r="AQ140" i="6" s="1"/>
  <c r="AD135" i="6"/>
  <c r="AH44" i="4"/>
  <c r="AF44" i="4" s="1"/>
  <c r="AO135" i="6"/>
  <c r="AU47" i="4"/>
  <c r="AU49" i="4" s="1"/>
  <c r="AU51" i="4" s="1"/>
  <c r="AI134" i="6"/>
  <c r="AL80" i="9"/>
  <c r="AK80" i="9"/>
  <c r="E119" i="9" l="1"/>
  <c r="C147" i="9"/>
  <c r="C127" i="9"/>
  <c r="C125" i="9"/>
  <c r="C110" i="9"/>
  <c r="E112" i="9"/>
  <c r="G114" i="9"/>
  <c r="F119" i="9"/>
  <c r="G119" i="9"/>
  <c r="F112" i="9"/>
  <c r="I48" i="9"/>
  <c r="G112" i="9"/>
  <c r="I134" i="9"/>
  <c r="J114" i="9"/>
  <c r="H117" i="9"/>
  <c r="E117" i="9" s="1"/>
  <c r="H119" i="9"/>
  <c r="T119" i="9"/>
  <c r="D119" i="9" s="1"/>
  <c r="I119" i="9"/>
  <c r="T112" i="9"/>
  <c r="D112" i="9" s="1"/>
  <c r="I112" i="9"/>
  <c r="L134" i="9"/>
  <c r="J139" i="9"/>
  <c r="G139" i="9" s="1"/>
  <c r="L48" i="9"/>
  <c r="J50" i="9"/>
  <c r="G50" i="9" s="1"/>
  <c r="P118" i="9"/>
  <c r="M118" i="9" s="1"/>
  <c r="S119" i="9"/>
  <c r="Q91" i="9"/>
  <c r="T33" i="5" s="1"/>
  <c r="P100" i="9"/>
  <c r="Q119" i="9"/>
  <c r="Q112" i="9"/>
  <c r="S112" i="9"/>
  <c r="R112" i="9"/>
  <c r="R119" i="9"/>
  <c r="Y128" i="6"/>
  <c r="AA128" i="6"/>
  <c r="AB121" i="9"/>
  <c r="AA122" i="9"/>
  <c r="Z80" i="9"/>
  <c r="P80" i="9"/>
  <c r="AA80" i="9"/>
  <c r="AB80" i="9"/>
  <c r="AD45" i="4"/>
  <c r="Z134" i="6" s="1"/>
  <c r="AE45" i="4"/>
  <c r="AA134" i="6" s="1"/>
  <c r="AB45" i="4"/>
  <c r="X134" i="6" s="1"/>
  <c r="AB28" i="4"/>
  <c r="AB30" i="4" s="1"/>
  <c r="AB36" i="4" s="1"/>
  <c r="X128" i="6"/>
  <c r="AK179" i="9"/>
  <c r="AK175" i="9"/>
  <c r="AK177" i="9" s="1"/>
  <c r="W111" i="6" s="1"/>
  <c r="AN26" i="5"/>
  <c r="AN45" i="5"/>
  <c r="AN47" i="5" s="1"/>
  <c r="AG36" i="5"/>
  <c r="AD136" i="6"/>
  <c r="AD138" i="6" s="1"/>
  <c r="AD140" i="6" s="1"/>
  <c r="AB135" i="6"/>
  <c r="AN135" i="6"/>
  <c r="AS44" i="4"/>
  <c r="AS47" i="4" s="1"/>
  <c r="AS49" i="4" s="1"/>
  <c r="AS51" i="4" s="1"/>
  <c r="AO136" i="6"/>
  <c r="AO138" i="6" s="1"/>
  <c r="AO140" i="6" s="1"/>
  <c r="AH47" i="4"/>
  <c r="AH49" i="4" s="1"/>
  <c r="AH51" i="4" s="1"/>
  <c r="AH134" i="6"/>
  <c r="AI136" i="6"/>
  <c r="AI138" i="6" s="1"/>
  <c r="AI140" i="6" s="1"/>
  <c r="AD80" i="9"/>
  <c r="M80" i="9" s="1"/>
  <c r="C119" i="9" l="1"/>
  <c r="C112" i="9"/>
  <c r="E114" i="9"/>
  <c r="G134" i="9"/>
  <c r="G48" i="9"/>
  <c r="H114" i="9"/>
  <c r="F117" i="9"/>
  <c r="C117" i="9" s="1"/>
  <c r="C114" i="9" s="1"/>
  <c r="J48" i="9"/>
  <c r="H50" i="9"/>
  <c r="E50" i="9" s="1"/>
  <c r="J134" i="9"/>
  <c r="H139" i="9"/>
  <c r="E139" i="9" s="1"/>
  <c r="J80" i="9"/>
  <c r="L80" i="9"/>
  <c r="K80" i="9"/>
  <c r="B91" i="9"/>
  <c r="M100" i="9"/>
  <c r="N80" i="9"/>
  <c r="B80" i="9"/>
  <c r="N118" i="9"/>
  <c r="L118" i="9" s="1"/>
  <c r="J118" i="9" s="1"/>
  <c r="N100" i="9"/>
  <c r="P91" i="9"/>
  <c r="S33" i="5"/>
  <c r="U80" i="9"/>
  <c r="Y80" i="9"/>
  <c r="X80" i="9"/>
  <c r="W80" i="9"/>
  <c r="V80" i="9"/>
  <c r="AC45" i="4"/>
  <c r="Y134" i="6" s="1"/>
  <c r="Z122" i="9"/>
  <c r="AA121" i="9"/>
  <c r="AE36" i="5"/>
  <c r="AB152" i="9"/>
  <c r="AB173" i="9" s="1"/>
  <c r="V111" i="6"/>
  <c r="W108" i="6"/>
  <c r="W107" i="6" s="1"/>
  <c r="AN49" i="5"/>
  <c r="AN51" i="5" s="1"/>
  <c r="AA135" i="6"/>
  <c r="AB136" i="6"/>
  <c r="AB138" i="6" s="1"/>
  <c r="AB140" i="6" s="1"/>
  <c r="AF47" i="4"/>
  <c r="AF49" i="4" s="1"/>
  <c r="AF51" i="4" s="1"/>
  <c r="AE44" i="4"/>
  <c r="AM135" i="6"/>
  <c r="AN136" i="6"/>
  <c r="AN138" i="6" s="1"/>
  <c r="AN140" i="6" s="1"/>
  <c r="AR44" i="4"/>
  <c r="AR47" i="4" s="1"/>
  <c r="AR49" i="4" s="1"/>
  <c r="AR51" i="4" s="1"/>
  <c r="AG134" i="6"/>
  <c r="AH136" i="6"/>
  <c r="AH138" i="6" s="1"/>
  <c r="AH140" i="6" s="1"/>
  <c r="E134" i="9" l="1"/>
  <c r="C139" i="9"/>
  <c r="C134" i="9" s="1"/>
  <c r="E48" i="9"/>
  <c r="E80" i="9"/>
  <c r="F114" i="9"/>
  <c r="D117" i="9"/>
  <c r="D114" i="9" s="1"/>
  <c r="F80" i="9"/>
  <c r="G80" i="9"/>
  <c r="H48" i="9"/>
  <c r="F50" i="9"/>
  <c r="C50" i="9" s="1"/>
  <c r="C48" i="9" s="1"/>
  <c r="H134" i="9"/>
  <c r="F139" i="9"/>
  <c r="S80" i="9"/>
  <c r="H80" i="9"/>
  <c r="T80" i="9"/>
  <c r="D80" i="9" s="1"/>
  <c r="I80" i="9"/>
  <c r="M91" i="9"/>
  <c r="K100" i="9"/>
  <c r="K118" i="9"/>
  <c r="I118" i="9" s="1"/>
  <c r="G118" i="9" s="1"/>
  <c r="N91" i="9"/>
  <c r="L100" i="9"/>
  <c r="Q80" i="9"/>
  <c r="R80" i="9"/>
  <c r="Z121" i="9"/>
  <c r="AC36" i="5" s="1"/>
  <c r="Y122" i="9"/>
  <c r="AD36" i="5"/>
  <c r="AA152" i="9"/>
  <c r="AA173" i="9" s="1"/>
  <c r="AE45" i="5"/>
  <c r="AE47" i="5" s="1"/>
  <c r="AE26" i="5"/>
  <c r="AA45" i="4"/>
  <c r="W134" i="6" s="1"/>
  <c r="Y45" i="4"/>
  <c r="U134" i="6" s="1"/>
  <c r="X45" i="4"/>
  <c r="T134" i="6" s="1"/>
  <c r="Z45" i="4"/>
  <c r="V134" i="6" s="1"/>
  <c r="AA28" i="4"/>
  <c r="AA30" i="4" s="1"/>
  <c r="AA36" i="4" s="1"/>
  <c r="W128" i="6"/>
  <c r="U111" i="6"/>
  <c r="V108" i="6"/>
  <c r="V107" i="6" s="1"/>
  <c r="AA136" i="6"/>
  <c r="AA138" i="6" s="1"/>
  <c r="AA140" i="6" s="1"/>
  <c r="Z135" i="6"/>
  <c r="AM136" i="6"/>
  <c r="AM138" i="6" s="1"/>
  <c r="AM140" i="6" s="1"/>
  <c r="AL135" i="6"/>
  <c r="AQ44" i="4"/>
  <c r="AQ47" i="4" s="1"/>
  <c r="AQ49" i="4" s="1"/>
  <c r="AQ51" i="4" s="1"/>
  <c r="AD44" i="4"/>
  <c r="AE47" i="4"/>
  <c r="AE49" i="4" s="1"/>
  <c r="AE51" i="4" s="1"/>
  <c r="AG136" i="6"/>
  <c r="AG138" i="6" s="1"/>
  <c r="AG140" i="6" s="1"/>
  <c r="AF134" i="6"/>
  <c r="C80" i="9" l="1"/>
  <c r="F48" i="9"/>
  <c r="D50" i="9"/>
  <c r="D48" i="9" s="1"/>
  <c r="F134" i="9"/>
  <c r="D139" i="9"/>
  <c r="D134" i="9" s="1"/>
  <c r="H118" i="9"/>
  <c r="F118" i="9" s="1"/>
  <c r="D118" i="9" s="1"/>
  <c r="K91" i="9"/>
  <c r="I100" i="9"/>
  <c r="L91" i="9"/>
  <c r="J100" i="9"/>
  <c r="Z152" i="9"/>
  <c r="Z173" i="9" s="1"/>
  <c r="Y121" i="9"/>
  <c r="X122" i="9"/>
  <c r="AC45" i="5"/>
  <c r="AC47" i="5" s="1"/>
  <c r="AC26" i="5"/>
  <c r="AA175" i="9"/>
  <c r="AA177" i="9" s="1"/>
  <c r="AD49" i="5" s="1"/>
  <c r="AD45" i="5"/>
  <c r="AD47" i="5" s="1"/>
  <c r="AD26" i="5"/>
  <c r="T111" i="6"/>
  <c r="U108" i="6"/>
  <c r="U107" i="6" s="1"/>
  <c r="Z28" i="4"/>
  <c r="Z30" i="4" s="1"/>
  <c r="Z36" i="4" s="1"/>
  <c r="V128" i="6"/>
  <c r="Y135" i="6"/>
  <c r="Z136" i="6"/>
  <c r="Z138" i="6" s="1"/>
  <c r="Z140" i="6" s="1"/>
  <c r="AC44" i="4"/>
  <c r="AD47" i="4"/>
  <c r="AD49" i="4" s="1"/>
  <c r="AD51" i="4" s="1"/>
  <c r="AP44" i="4"/>
  <c r="AP47" i="4" s="1"/>
  <c r="AP49" i="4" s="1"/>
  <c r="AP51" i="4" s="1"/>
  <c r="AK135" i="6"/>
  <c r="AL136" i="6"/>
  <c r="AL138" i="6" s="1"/>
  <c r="AL140" i="6" s="1"/>
  <c r="AE134" i="6"/>
  <c r="AE136" i="6" s="1"/>
  <c r="AE138" i="6" s="1"/>
  <c r="AE140" i="6" s="1"/>
  <c r="AF136" i="6"/>
  <c r="AF138" i="6" s="1"/>
  <c r="AF140" i="6" s="1"/>
  <c r="E118" i="9" l="1"/>
  <c r="C118" i="9" s="1"/>
  <c r="I91" i="9"/>
  <c r="G100" i="9"/>
  <c r="J91" i="9"/>
  <c r="H100" i="9"/>
  <c r="AA179" i="9"/>
  <c r="AD51" i="5"/>
  <c r="Z175" i="9"/>
  <c r="Z177" i="9" s="1"/>
  <c r="AC49" i="5" s="1"/>
  <c r="AC51" i="5" s="1"/>
  <c r="X121" i="9"/>
  <c r="W122" i="9"/>
  <c r="AB36" i="5"/>
  <c r="Y152" i="9"/>
  <c r="Y173" i="9" s="1"/>
  <c r="Y28" i="4"/>
  <c r="Y30" i="4" s="1"/>
  <c r="Y36" i="4" s="1"/>
  <c r="U128" i="6"/>
  <c r="T108" i="6"/>
  <c r="T107" i="6" s="1"/>
  <c r="X135" i="6"/>
  <c r="Y136" i="6"/>
  <c r="Y138" i="6" s="1"/>
  <c r="Y140" i="6" s="1"/>
  <c r="AO44" i="4"/>
  <c r="AO47" i="4" s="1"/>
  <c r="AO49" i="4" s="1"/>
  <c r="AO51" i="4" s="1"/>
  <c r="AJ135" i="6"/>
  <c r="AK136" i="6"/>
  <c r="AK138" i="6" s="1"/>
  <c r="AK140" i="6" s="1"/>
  <c r="AB44" i="4"/>
  <c r="AB47" i="4" s="1"/>
  <c r="AB49" i="4" s="1"/>
  <c r="AB51" i="4" s="1"/>
  <c r="AC47" i="4"/>
  <c r="AC49" i="4" s="1"/>
  <c r="AC51" i="4" s="1"/>
  <c r="G91" i="9" l="1"/>
  <c r="E100" i="9"/>
  <c r="H91" i="9"/>
  <c r="F100" i="9"/>
  <c r="Z179" i="9"/>
  <c r="Y175" i="9"/>
  <c r="Y177" i="9" s="1"/>
  <c r="AB49" i="5" s="1"/>
  <c r="AB45" i="5"/>
  <c r="AB47" i="5" s="1"/>
  <c r="AB26" i="5"/>
  <c r="V122" i="9"/>
  <c r="U122" i="9" s="1"/>
  <c r="W121" i="9"/>
  <c r="AA36" i="5"/>
  <c r="X152" i="9"/>
  <c r="X173" i="9" s="1"/>
  <c r="X28" i="4"/>
  <c r="X30" i="4" s="1"/>
  <c r="X36" i="4" s="1"/>
  <c r="T128" i="6"/>
  <c r="W135" i="6"/>
  <c r="X136" i="6"/>
  <c r="X138" i="6" s="1"/>
  <c r="X140" i="6" s="1"/>
  <c r="AN44" i="4"/>
  <c r="AN47" i="4" s="1"/>
  <c r="AN49" i="4" s="1"/>
  <c r="AN51" i="4" s="1"/>
  <c r="AJ136" i="6"/>
  <c r="AJ138" i="6" s="1"/>
  <c r="AJ140" i="6" s="1"/>
  <c r="E91" i="9" l="1"/>
  <c r="C100" i="9"/>
  <c r="C91" i="9" s="1"/>
  <c r="F91" i="9"/>
  <c r="D100" i="9"/>
  <c r="D91" i="9" s="1"/>
  <c r="AB51" i="5"/>
  <c r="Y179" i="9"/>
  <c r="T122" i="9"/>
  <c r="U121" i="9"/>
  <c r="AA26" i="5"/>
  <c r="AA45" i="5"/>
  <c r="AA47" i="5" s="1"/>
  <c r="X175" i="9"/>
  <c r="X177" i="9" s="1"/>
  <c r="AA49" i="5" s="1"/>
  <c r="Z36" i="5"/>
  <c r="W152" i="9"/>
  <c r="W173" i="9" s="1"/>
  <c r="V121" i="9"/>
  <c r="AA44" i="4"/>
  <c r="AA47" i="4" s="1"/>
  <c r="AA49" i="4" s="1"/>
  <c r="AA51" i="4" s="1"/>
  <c r="W136" i="6"/>
  <c r="W138" i="6" s="1"/>
  <c r="W140" i="6" s="1"/>
  <c r="V135" i="6"/>
  <c r="X179" i="9" l="1"/>
  <c r="AA51" i="5"/>
  <c r="V152" i="9"/>
  <c r="V173" i="9" s="1"/>
  <c r="Y36" i="5"/>
  <c r="X36" i="5"/>
  <c r="U152" i="9"/>
  <c r="U173" i="9" s="1"/>
  <c r="S122" i="9"/>
  <c r="T121" i="9"/>
  <c r="Z26" i="5"/>
  <c r="Z45" i="5"/>
  <c r="Z47" i="5" s="1"/>
  <c r="W175" i="9"/>
  <c r="W177" i="9" s="1"/>
  <c r="Z49" i="5" s="1"/>
  <c r="V175" i="9"/>
  <c r="V177" i="9" s="1"/>
  <c r="Y49" i="5" s="1"/>
  <c r="Z44" i="4"/>
  <c r="Z47" i="4" s="1"/>
  <c r="Z49" i="4" s="1"/>
  <c r="Z51" i="4" s="1"/>
  <c r="V136" i="6"/>
  <c r="V138" i="6" s="1"/>
  <c r="V140" i="6" s="1"/>
  <c r="U135" i="6"/>
  <c r="AG173" i="9"/>
  <c r="AD84" i="9"/>
  <c r="AD83" i="9" s="1"/>
  <c r="AD152" i="9" s="1"/>
  <c r="AD173" i="9" s="1"/>
  <c r="AJ29" i="5"/>
  <c r="AG29" i="5" s="1"/>
  <c r="V179" i="9" l="1"/>
  <c r="W179" i="9"/>
  <c r="Z51" i="5"/>
  <c r="X26" i="5"/>
  <c r="X45" i="5"/>
  <c r="X47" i="5" s="1"/>
  <c r="W36" i="5"/>
  <c r="T152" i="9"/>
  <c r="T173" i="9" s="1"/>
  <c r="U175" i="9"/>
  <c r="U177" i="9" s="1"/>
  <c r="X49" i="5" s="1"/>
  <c r="Y45" i="5"/>
  <c r="Y47" i="5" s="1"/>
  <c r="Y51" i="5" s="1"/>
  <c r="Y26" i="5"/>
  <c r="R122" i="9"/>
  <c r="Q122" i="9" s="1"/>
  <c r="S121" i="9"/>
  <c r="AD175" i="9"/>
  <c r="AD177" i="9" s="1"/>
  <c r="AD179" i="9" s="1"/>
  <c r="AG45" i="5"/>
  <c r="AG47" i="5" s="1"/>
  <c r="AG26" i="5"/>
  <c r="T135" i="6"/>
  <c r="Y44" i="4"/>
  <c r="Y47" i="4" s="1"/>
  <c r="Y49" i="4" s="1"/>
  <c r="Y51" i="4" s="1"/>
  <c r="U136" i="6"/>
  <c r="U138" i="6" s="1"/>
  <c r="U140" i="6" s="1"/>
  <c r="AJ45" i="5"/>
  <c r="AJ47" i="5" s="1"/>
  <c r="AG179" i="9"/>
  <c r="AG175" i="9"/>
  <c r="AG177" i="9" s="1"/>
  <c r="S111" i="6" s="1"/>
  <c r="AJ26" i="5"/>
  <c r="Q121" i="9" l="1"/>
  <c r="P122" i="9"/>
  <c r="M122" i="9" s="1"/>
  <c r="U179" i="9"/>
  <c r="X51" i="5"/>
  <c r="P121" i="9"/>
  <c r="P152" i="9" s="1"/>
  <c r="P173" i="9" s="1"/>
  <c r="R121" i="9"/>
  <c r="V36" i="5"/>
  <c r="S152" i="9"/>
  <c r="S173" i="9" s="1"/>
  <c r="T175" i="9"/>
  <c r="T177" i="9" s="1"/>
  <c r="W49" i="5" s="1"/>
  <c r="W26" i="5"/>
  <c r="W45" i="5"/>
  <c r="W47" i="5" s="1"/>
  <c r="AJ49" i="5"/>
  <c r="AJ51" i="5" s="1"/>
  <c r="W45" i="4" s="1"/>
  <c r="AG49" i="5"/>
  <c r="AG51" i="5" s="1"/>
  <c r="R111" i="6"/>
  <c r="S108" i="6"/>
  <c r="S107" i="6" s="1"/>
  <c r="F65" i="18"/>
  <c r="F70" i="18" s="1"/>
  <c r="G65" i="18"/>
  <c r="G70" i="18" s="1"/>
  <c r="S135" i="6"/>
  <c r="X44" i="4"/>
  <c r="X47" i="4" s="1"/>
  <c r="X49" i="4" s="1"/>
  <c r="X51" i="4" s="1"/>
  <c r="T136" i="6"/>
  <c r="T138" i="6" s="1"/>
  <c r="T140" i="6" s="1"/>
  <c r="M121" i="9" l="1"/>
  <c r="M152" i="9" s="1"/>
  <c r="M173" i="9" s="1"/>
  <c r="M175" i="9" s="1"/>
  <c r="M177" i="9" s="1"/>
  <c r="M179" i="9" s="1"/>
  <c r="N122" i="9"/>
  <c r="K122" i="9" s="1"/>
  <c r="B121" i="9"/>
  <c r="B152" i="9" s="1"/>
  <c r="B173" i="9" s="1"/>
  <c r="Q152" i="9"/>
  <c r="Q173" i="9" s="1"/>
  <c r="Q175" i="9" s="1"/>
  <c r="Q177" i="9" s="1"/>
  <c r="T49" i="5" s="1"/>
  <c r="T36" i="5"/>
  <c r="W51" i="5"/>
  <c r="Q179" i="9"/>
  <c r="T179" i="9"/>
  <c r="F71" i="18"/>
  <c r="F72" i="18"/>
  <c r="S175" i="9"/>
  <c r="S177" i="9" s="1"/>
  <c r="V49" i="5" s="1"/>
  <c r="U36" i="5"/>
  <c r="R152" i="9"/>
  <c r="R173" i="9" s="1"/>
  <c r="P175" i="9"/>
  <c r="P177" i="9" s="1"/>
  <c r="S49" i="5" s="1"/>
  <c r="V26" i="5"/>
  <c r="V45" i="5"/>
  <c r="V47" i="5" s="1"/>
  <c r="V45" i="4"/>
  <c r="U45" i="4" s="1"/>
  <c r="Q134" i="6" s="1"/>
  <c r="S134" i="6"/>
  <c r="S136" i="6" s="1"/>
  <c r="Q111" i="6"/>
  <c r="R108" i="6"/>
  <c r="R107" i="6" s="1"/>
  <c r="W28" i="4"/>
  <c r="W30" i="4" s="1"/>
  <c r="W36" i="4" s="1"/>
  <c r="S128" i="6"/>
  <c r="G71" i="18"/>
  <c r="G72" i="18"/>
  <c r="G77" i="18" s="1"/>
  <c r="R135" i="6"/>
  <c r="W44" i="4"/>
  <c r="W47" i="4" s="1"/>
  <c r="K121" i="9" l="1"/>
  <c r="K152" i="9" s="1"/>
  <c r="K173" i="9" s="1"/>
  <c r="P179" i="9"/>
  <c r="K175" i="9"/>
  <c r="K177" i="9" s="1"/>
  <c r="N121" i="9"/>
  <c r="N152" i="9" s="1"/>
  <c r="N175" i="9" s="1"/>
  <c r="N179" i="9" s="1"/>
  <c r="B134" i="6" s="1"/>
  <c r="L122" i="9"/>
  <c r="I122" i="9" s="1"/>
  <c r="B175" i="9"/>
  <c r="B177" i="9" s="1"/>
  <c r="B179" i="9" s="1"/>
  <c r="S36" i="5"/>
  <c r="T45" i="5"/>
  <c r="T47" i="5" s="1"/>
  <c r="T51" i="5" s="1"/>
  <c r="T26" i="5"/>
  <c r="S179" i="9"/>
  <c r="V51" i="5"/>
  <c r="R175" i="9"/>
  <c r="R177" i="9" s="1"/>
  <c r="U49" i="5" s="1"/>
  <c r="U26" i="5"/>
  <c r="U45" i="5"/>
  <c r="U47" i="5" s="1"/>
  <c r="R134" i="6"/>
  <c r="R136" i="6" s="1"/>
  <c r="V28" i="4"/>
  <c r="V30" i="4" s="1"/>
  <c r="V36" i="4" s="1"/>
  <c r="R128" i="6"/>
  <c r="W49" i="4"/>
  <c r="W51" i="4" s="1"/>
  <c r="G50" i="18"/>
  <c r="G57" i="18" s="1"/>
  <c r="G58" i="18" s="1"/>
  <c r="F50" i="18"/>
  <c r="F57" i="18" s="1"/>
  <c r="F58" i="18" s="1"/>
  <c r="Q108" i="6"/>
  <c r="Q107" i="6" s="1"/>
  <c r="S138" i="6"/>
  <c r="S140" i="6" s="1"/>
  <c r="F77" i="18"/>
  <c r="G85" i="18"/>
  <c r="Q135" i="6"/>
  <c r="U44" i="4" s="1"/>
  <c r="V44" i="4"/>
  <c r="V47" i="4" s="1"/>
  <c r="K179" i="9" l="1"/>
  <c r="M49" i="5"/>
  <c r="M51" i="5" s="1"/>
  <c r="Q45" i="5"/>
  <c r="Q47" i="5" s="1"/>
  <c r="Q51" i="5" s="1"/>
  <c r="F45" i="4" s="1"/>
  <c r="Q26" i="5"/>
  <c r="I121" i="9"/>
  <c r="I152" i="9" s="1"/>
  <c r="I173" i="9" s="1"/>
  <c r="R179" i="9"/>
  <c r="I175" i="9"/>
  <c r="I177" i="9" s="1"/>
  <c r="I179" i="9" s="1"/>
  <c r="L121" i="9"/>
  <c r="L152" i="9" s="1"/>
  <c r="L173" i="9" s="1"/>
  <c r="J122" i="9"/>
  <c r="G122" i="9" s="1"/>
  <c r="U51" i="5"/>
  <c r="L175" i="9"/>
  <c r="L177" i="9" s="1"/>
  <c r="L179" i="9" s="1"/>
  <c r="K77" i="18"/>
  <c r="F81" i="18"/>
  <c r="F85" i="18" s="1"/>
  <c r="D134" i="6"/>
  <c r="B135" i="6" s="1"/>
  <c r="S26" i="5"/>
  <c r="S45" i="5"/>
  <c r="S47" i="5" s="1"/>
  <c r="E134" i="6"/>
  <c r="F134" i="6"/>
  <c r="G134" i="6"/>
  <c r="H134" i="6"/>
  <c r="I134" i="6"/>
  <c r="J134" i="6"/>
  <c r="K134" i="6"/>
  <c r="R138" i="6"/>
  <c r="R140" i="6" s="1"/>
  <c r="V49" i="4"/>
  <c r="V51" i="4" s="1"/>
  <c r="L134" i="6"/>
  <c r="M134" i="6"/>
  <c r="U28" i="4"/>
  <c r="U30" i="4" s="1"/>
  <c r="U36" i="4" s="1"/>
  <c r="Q128" i="6"/>
  <c r="N134" i="6"/>
  <c r="U47" i="4"/>
  <c r="S44" i="4"/>
  <c r="R44" i="4" s="1"/>
  <c r="O134" i="6"/>
  <c r="Q136" i="6"/>
  <c r="AU79" i="6"/>
  <c r="AU128" i="6" s="1"/>
  <c r="AU138" i="6" s="1"/>
  <c r="AU140" i="6" s="1"/>
  <c r="AT79" i="6"/>
  <c r="AX33" i="4" s="1"/>
  <c r="AX34" i="4" s="1"/>
  <c r="AX36" i="4" s="1"/>
  <c r="AX49" i="4" s="1"/>
  <c r="AX51" i="4" s="1"/>
  <c r="AV79" i="6"/>
  <c r="AV128" i="6" s="1"/>
  <c r="AV138" i="6" s="1"/>
  <c r="AV140" i="6" s="1"/>
  <c r="BB79" i="6"/>
  <c r="BB128" i="6" s="1"/>
  <c r="BB138" i="6" s="1"/>
  <c r="BB140" i="6" s="1"/>
  <c r="AZ79" i="6"/>
  <c r="AZ128" i="6" s="1"/>
  <c r="AZ138" i="6" s="1"/>
  <c r="AZ140" i="6" s="1"/>
  <c r="BA79" i="6"/>
  <c r="BE33" i="4" s="1"/>
  <c r="BE34" i="4" s="1"/>
  <c r="BE36" i="4" s="1"/>
  <c r="BE49" i="4" s="1"/>
  <c r="BE51" i="4" s="1"/>
  <c r="AY79" i="6"/>
  <c r="AY128" i="6" s="1"/>
  <c r="AY138" i="6" s="1"/>
  <c r="AY140" i="6" s="1"/>
  <c r="AR79" i="6"/>
  <c r="AR128" i="6" s="1"/>
  <c r="AR138" i="6" s="1"/>
  <c r="AR140" i="6" s="1"/>
  <c r="AS79" i="6"/>
  <c r="AW33" i="4" s="1"/>
  <c r="AW34" i="4" s="1"/>
  <c r="AW36" i="4" s="1"/>
  <c r="AW49" i="4" s="1"/>
  <c r="AW51" i="4" s="1"/>
  <c r="AX79" i="6"/>
  <c r="AX128" i="6" s="1"/>
  <c r="AX138" i="6" s="1"/>
  <c r="AX140" i="6" s="1"/>
  <c r="AW79" i="6"/>
  <c r="AW128" i="6" s="1"/>
  <c r="AW138" i="6" s="1"/>
  <c r="AW140" i="6" s="1"/>
  <c r="E26" i="5" l="1"/>
  <c r="E45" i="5"/>
  <c r="E47" i="5" s="1"/>
  <c r="E51" i="5" s="1"/>
  <c r="G121" i="9"/>
  <c r="G152" i="9" s="1"/>
  <c r="G173" i="9" s="1"/>
  <c r="G175" i="9"/>
  <c r="G177" i="9" s="1"/>
  <c r="G179" i="9" s="1"/>
  <c r="J121" i="9"/>
  <c r="J152" i="9" s="1"/>
  <c r="J173" i="9" s="1"/>
  <c r="J175" i="9" s="1"/>
  <c r="J177" i="9" s="1"/>
  <c r="H122" i="9"/>
  <c r="E122" i="9" s="1"/>
  <c r="E65" i="18"/>
  <c r="E70" i="18" s="1"/>
  <c r="D65" i="18"/>
  <c r="D70" i="18" s="1"/>
  <c r="S51" i="5"/>
  <c r="Q138" i="6"/>
  <c r="Q140" i="6" s="1"/>
  <c r="U49" i="4"/>
  <c r="U51" i="4" s="1"/>
  <c r="Q44" i="4"/>
  <c r="BF33" i="4"/>
  <c r="BF34" i="4" s="1"/>
  <c r="BF36" i="4" s="1"/>
  <c r="BF49" i="4" s="1"/>
  <c r="BF51" i="4" s="1"/>
  <c r="BD33" i="4"/>
  <c r="BD34" i="4" s="1"/>
  <c r="BD36" i="4" s="1"/>
  <c r="BD49" i="4" s="1"/>
  <c r="BD51" i="4" s="1"/>
  <c r="BC33" i="4"/>
  <c r="BC34" i="4" s="1"/>
  <c r="BC36" i="4" s="1"/>
  <c r="BC49" i="4" s="1"/>
  <c r="BC51" i="4" s="1"/>
  <c r="AZ33" i="4"/>
  <c r="AZ34" i="4" s="1"/>
  <c r="AZ36" i="4" s="1"/>
  <c r="AZ49" i="4" s="1"/>
  <c r="AZ51" i="4" s="1"/>
  <c r="AY33" i="4"/>
  <c r="AY34" i="4" s="1"/>
  <c r="AY36" i="4" s="1"/>
  <c r="AY49" i="4" s="1"/>
  <c r="AY51" i="4" s="1"/>
  <c r="AV33" i="4"/>
  <c r="AV34" i="4" s="1"/>
  <c r="AV36" i="4" s="1"/>
  <c r="AV49" i="4" s="1"/>
  <c r="AV51" i="4" s="1"/>
  <c r="BB33" i="4"/>
  <c r="BB34" i="4" s="1"/>
  <c r="BB36" i="4" s="1"/>
  <c r="BB49" i="4" s="1"/>
  <c r="BB51" i="4" s="1"/>
  <c r="BA128" i="6"/>
  <c r="BA138" i="6" s="1"/>
  <c r="BA140" i="6" s="1"/>
  <c r="BA33" i="4"/>
  <c r="BA34" i="4" s="1"/>
  <c r="BA36" i="4" s="1"/>
  <c r="BA49" i="4" s="1"/>
  <c r="BA51" i="4" s="1"/>
  <c r="AT128" i="6"/>
  <c r="AT138" i="6" s="1"/>
  <c r="AT140" i="6" s="1"/>
  <c r="AS128" i="6"/>
  <c r="AS138" i="6" s="1"/>
  <c r="AS140" i="6" s="1"/>
  <c r="AB44" i="9"/>
  <c r="E121" i="9" l="1"/>
  <c r="E152" i="9" s="1"/>
  <c r="E173" i="9" s="1"/>
  <c r="E175" i="9" s="1"/>
  <c r="E177" i="9" s="1"/>
  <c r="H121" i="9"/>
  <c r="H152" i="9" s="1"/>
  <c r="H173" i="9" s="1"/>
  <c r="H175" i="9" s="1"/>
  <c r="H177" i="9" s="1"/>
  <c r="F122" i="9"/>
  <c r="C122" i="9" s="1"/>
  <c r="C121" i="9" s="1"/>
  <c r="C152" i="9" s="1"/>
  <c r="C173" i="9" s="1"/>
  <c r="J179" i="9"/>
  <c r="D71" i="18"/>
  <c r="D72" i="18"/>
  <c r="D77" i="18" s="1"/>
  <c r="E71" i="18"/>
  <c r="E72" i="18"/>
  <c r="E77" i="18" s="1"/>
  <c r="P44" i="4"/>
  <c r="AB175" i="9"/>
  <c r="AB177" i="9" s="1"/>
  <c r="H179" i="9" l="1"/>
  <c r="J49" i="5"/>
  <c r="J51" i="5" s="1"/>
  <c r="E179" i="9"/>
  <c r="G49" i="5"/>
  <c r="G51" i="5" s="1"/>
  <c r="C175" i="9"/>
  <c r="C177" i="9" s="1"/>
  <c r="C179" i="9"/>
  <c r="F121" i="9"/>
  <c r="F152" i="9" s="1"/>
  <c r="F173" i="9" s="1"/>
  <c r="D122" i="9"/>
  <c r="D121" i="9" s="1"/>
  <c r="D152" i="9" s="1"/>
  <c r="D173" i="9" s="1"/>
  <c r="F175" i="9"/>
  <c r="F177" i="9" s="1"/>
  <c r="F179" i="9" s="1"/>
  <c r="E85" i="18"/>
  <c r="K78" i="18"/>
  <c r="D85" i="18"/>
  <c r="L77" i="18"/>
  <c r="AE49" i="5"/>
  <c r="AE51" i="5" s="1"/>
  <c r="S45" i="4" s="1"/>
  <c r="O111" i="6"/>
  <c r="AB179" i="9"/>
  <c r="O135" i="6" s="1"/>
  <c r="O44" i="4"/>
  <c r="D175" i="9" l="1"/>
  <c r="D177" i="9" s="1"/>
  <c r="D179" i="9" s="1"/>
  <c r="N135" i="6"/>
  <c r="O136" i="6"/>
  <c r="N111" i="6"/>
  <c r="O108" i="6"/>
  <c r="O107" i="6" s="1"/>
  <c r="R45" i="4"/>
  <c r="S47" i="4"/>
  <c r="N44" i="4"/>
  <c r="M111" i="6" l="1"/>
  <c r="N108" i="6"/>
  <c r="N107" i="6" s="1"/>
  <c r="Q45" i="4"/>
  <c r="R47" i="4"/>
  <c r="S28" i="4"/>
  <c r="S30" i="4" s="1"/>
  <c r="S36" i="4" s="1"/>
  <c r="S49" i="4" s="1"/>
  <c r="S51" i="4" s="1"/>
  <c r="O128" i="6"/>
  <c r="O138" i="6" s="1"/>
  <c r="O140" i="6" s="1"/>
  <c r="N136" i="6"/>
  <c r="M135" i="6"/>
  <c r="M44" i="4"/>
  <c r="R28" i="4" l="1"/>
  <c r="R30" i="4" s="1"/>
  <c r="R36" i="4" s="1"/>
  <c r="R49" i="4" s="1"/>
  <c r="R51" i="4" s="1"/>
  <c r="N128" i="6"/>
  <c r="N138" i="6" s="1"/>
  <c r="N140" i="6" s="1"/>
  <c r="M136" i="6"/>
  <c r="L135" i="6"/>
  <c r="L111" i="6"/>
  <c r="M108" i="6"/>
  <c r="M107" i="6" s="1"/>
  <c r="P45" i="4"/>
  <c r="Q47" i="4"/>
  <c r="L44" i="4"/>
  <c r="O45" i="4" l="1"/>
  <c r="P47" i="4"/>
  <c r="M128" i="6"/>
  <c r="M138" i="6" s="1"/>
  <c r="M140" i="6" s="1"/>
  <c r="Q28" i="4"/>
  <c r="Q30" i="4" s="1"/>
  <c r="Q36" i="4" s="1"/>
  <c r="Q49" i="4" s="1"/>
  <c r="Q51" i="4" s="1"/>
  <c r="K111" i="6"/>
  <c r="K108" i="6" s="1"/>
  <c r="K107" i="6" s="1"/>
  <c r="L108" i="6"/>
  <c r="L107" i="6" s="1"/>
  <c r="L136" i="6"/>
  <c r="K135" i="6"/>
  <c r="K44" i="4"/>
  <c r="O28" i="4" l="1"/>
  <c r="O30" i="4" s="1"/>
  <c r="O36" i="4" s="1"/>
  <c r="K128" i="6"/>
  <c r="P28" i="4"/>
  <c r="P30" i="4" s="1"/>
  <c r="P36" i="4" s="1"/>
  <c r="P49" i="4" s="1"/>
  <c r="P51" i="4" s="1"/>
  <c r="L128" i="6"/>
  <c r="L138" i="6" s="1"/>
  <c r="L140" i="6" s="1"/>
  <c r="K136" i="6"/>
  <c r="K138" i="6" s="1"/>
  <c r="K140" i="6" s="1"/>
  <c r="J135" i="6"/>
  <c r="N45" i="4"/>
  <c r="O47" i="4"/>
  <c r="J111" i="6"/>
  <c r="J44" i="4"/>
  <c r="I135" i="6" l="1"/>
  <c r="J136" i="6"/>
  <c r="M45" i="4"/>
  <c r="N47" i="4"/>
  <c r="I111" i="6"/>
  <c r="J108" i="6"/>
  <c r="J107" i="6" s="1"/>
  <c r="O49" i="4"/>
  <c r="O51" i="4" s="1"/>
  <c r="I44" i="4"/>
  <c r="J128" i="6" l="1"/>
  <c r="N28" i="4"/>
  <c r="N30" i="4" s="1"/>
  <c r="N36" i="4" s="1"/>
  <c r="N49" i="4" s="1"/>
  <c r="N51" i="4" s="1"/>
  <c r="L45" i="4"/>
  <c r="M47" i="4"/>
  <c r="J138" i="6"/>
  <c r="J140" i="6" s="1"/>
  <c r="H111" i="6"/>
  <c r="I108" i="6"/>
  <c r="I107" i="6" s="1"/>
  <c r="H135" i="6"/>
  <c r="I136" i="6"/>
  <c r="H44" i="4"/>
  <c r="I128" i="6" l="1"/>
  <c r="I138" i="6" s="1"/>
  <c r="I140" i="6" s="1"/>
  <c r="M28" i="4"/>
  <c r="M30" i="4" s="1"/>
  <c r="M36" i="4" s="1"/>
  <c r="M49" i="4" s="1"/>
  <c r="M51" i="4" s="1"/>
  <c r="K45" i="4"/>
  <c r="L47" i="4"/>
  <c r="G111" i="6"/>
  <c r="H108" i="6"/>
  <c r="H107" i="6" s="1"/>
  <c r="H136" i="6"/>
  <c r="G135" i="6"/>
  <c r="F111" i="6" l="1"/>
  <c r="G108" i="6"/>
  <c r="G107" i="6" s="1"/>
  <c r="F135" i="6"/>
  <c r="G136" i="6"/>
  <c r="H128" i="6"/>
  <c r="H138" i="6" s="1"/>
  <c r="H140" i="6" s="1"/>
  <c r="L28" i="4"/>
  <c r="L30" i="4" s="1"/>
  <c r="L36" i="4" s="1"/>
  <c r="L49" i="4" s="1"/>
  <c r="L51" i="4" s="1"/>
  <c r="J45" i="4"/>
  <c r="K47" i="4"/>
  <c r="F136" i="6" l="1"/>
  <c r="E135" i="6"/>
  <c r="K28" i="4"/>
  <c r="K30" i="4" s="1"/>
  <c r="K36" i="4" s="1"/>
  <c r="K49" i="4" s="1"/>
  <c r="K51" i="4" s="1"/>
  <c r="G128" i="6"/>
  <c r="G138" i="6" s="1"/>
  <c r="G140" i="6" s="1"/>
  <c r="I45" i="4"/>
  <c r="J47" i="4"/>
  <c r="E111" i="6"/>
  <c r="F108" i="6"/>
  <c r="F107" i="6" s="1"/>
  <c r="D135" i="6" l="1"/>
  <c r="E136" i="6"/>
  <c r="H45" i="4"/>
  <c r="I47" i="4"/>
  <c r="F128" i="6"/>
  <c r="F138" i="6" s="1"/>
  <c r="F140" i="6" s="1"/>
  <c r="J28" i="4"/>
  <c r="J30" i="4" s="1"/>
  <c r="J36" i="4" s="1"/>
  <c r="J49" i="4" s="1"/>
  <c r="J51" i="4" s="1"/>
  <c r="D111" i="6"/>
  <c r="B108" i="6" s="1"/>
  <c r="B107" i="6" s="1"/>
  <c r="E108" i="6"/>
  <c r="E107" i="6" s="1"/>
  <c r="B128" i="6" l="1"/>
  <c r="F28" i="4"/>
  <c r="F30" i="4" s="1"/>
  <c r="H47" i="4"/>
  <c r="F47" i="4"/>
  <c r="D136" i="6"/>
  <c r="B136" i="6"/>
  <c r="B138" i="6" s="1"/>
  <c r="B140" i="6" s="1"/>
  <c r="D50" i="18"/>
  <c r="D57" i="18" s="1"/>
  <c r="D58" i="18" s="1"/>
  <c r="E50" i="18"/>
  <c r="E57" i="18" s="1"/>
  <c r="E58" i="18" s="1"/>
  <c r="D108" i="6"/>
  <c r="D107" i="6" s="1"/>
  <c r="E128" i="6"/>
  <c r="E138" i="6" s="1"/>
  <c r="E140" i="6" s="1"/>
  <c r="I28" i="4"/>
  <c r="I30" i="4" s="1"/>
  <c r="I36" i="4" s="1"/>
  <c r="I49" i="4" s="1"/>
  <c r="I51" i="4" s="1"/>
  <c r="F49" i="4" l="1"/>
  <c r="F51" i="4" s="1"/>
  <c r="H28" i="4"/>
  <c r="H30" i="4" s="1"/>
  <c r="H36" i="4" s="1"/>
  <c r="H49" i="4" s="1"/>
  <c r="H51" i="4" s="1"/>
  <c r="D128" i="6"/>
  <c r="D138" i="6" s="1"/>
  <c r="D14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Q1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3 facturas, retencion y reteica ya aplicados
</t>
        </r>
      </text>
    </comment>
    <comment ref="Q2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 facturas
</t>
        </r>
      </text>
    </comment>
    <comment ref="L4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anticipo compra de Dotacion
</t>
        </r>
      </text>
    </comment>
    <comment ref="N4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Colombia Hosting S.A.S factura mes de marzo
</t>
        </r>
      </text>
    </comment>
    <comment ref="D45" authorId="0" shapeId="0" xr:uid="{89FBD022-F3FE-485D-B88E-B257C529596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factura en el mes de enero 2026
</t>
        </r>
      </text>
    </comment>
    <comment ref="B81" authorId="0" shapeId="0" xr:uid="{C656D704-EA01-4DF9-84FB-F5ACD4E6D7F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DINEROS GIRADOS A EDGAR</t>
        </r>
      </text>
    </comment>
    <comment ref="O84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factura enero</t>
        </r>
      </text>
    </comment>
    <comment ref="B87" authorId="0" shapeId="0" xr:uid="{E4BCAC2F-C154-4B89-B0AB-7981385110B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deuda tarjeta de credito</t>
        </r>
      </text>
    </comment>
    <comment ref="D87" authorId="0" shapeId="0" xr:uid="{62CFDEDB-A52F-4516-8BE9-FD7C06942C7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deuda tarjeta de credito</t>
        </r>
      </text>
    </comment>
    <comment ref="O90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poliza cumplimiento 31/01/2025 factura credito</t>
        </r>
      </text>
    </comment>
    <comment ref="N116" authorId="0" shapeId="0" xr:uid="{6CB2FC4A-A24E-4638-A4A4-1D3C9A6609A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intereses según acuerdo de pago por 9,334,000
</t>
        </r>
      </text>
    </comment>
    <comment ref="D122" authorId="0" shapeId="0" xr:uid="{D637F994-6152-45D5-BD42-419EA913B71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prima de personal que ingreso en  el mes de diciembre por 15 dias
</t>
        </r>
      </text>
    </comment>
    <comment ref="Q122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LIQUIDACION DE ANGIE
</t>
        </r>
      </text>
    </comment>
    <comment ref="K126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consignacion de proveedor de telecomunicaciones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Usuario de Windows</author>
  </authors>
  <commentList>
    <comment ref="U5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sin documento soporte solo el comprobante de pago
</t>
        </r>
      </text>
    </comment>
    <comment ref="Z5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viaticos a bucaramanga para contrato de cajasan no tiene documento soporte 
</t>
        </r>
      </text>
    </comment>
    <comment ref="Q54" authorId="0" shapeId="0" xr:uid="{BB8F0EFF-1D0B-4CBE-83C4-0A762392C81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DISMINUCION POR DIFERENCIA EN LIQUIDACION DE TRES PERSONAS
</t>
        </r>
      </text>
    </comment>
    <comment ref="S54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DISMINUCION POR LIQUIDACION DE GIRINA PAOLA YA QUE TENIA UN MAYOR VALOR CAUSADO </t>
        </r>
      </text>
    </comment>
    <comment ref="Q57" authorId="0" shapeId="0" xr:uid="{5F966FFB-2F6F-4D7F-A3BF-EEF2631B432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bonificacion de maria alejandra Y Mateo Salazar
</t>
        </r>
      </text>
    </comment>
    <comment ref="R5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bonificacion de maria alejandra Y Mateo Salazar
</t>
        </r>
      </text>
    </comment>
    <comment ref="S57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bonificacion de maria alejandra Y Mateo Salazar
</t>
        </r>
      </text>
    </comment>
    <comment ref="T5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bonificacion de maria alejandra
</t>
        </r>
      </text>
    </comment>
    <comment ref="U5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bonificacion de maria alejandra
</t>
        </r>
      </text>
    </comment>
    <comment ref="V5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bonificacion de maria alejandra
</t>
        </r>
      </text>
    </comment>
    <comment ref="W5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bonificacion de maria alejandra
Y </t>
        </r>
      </text>
    </comment>
    <comment ref="X57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bonificacion de maria alejandra
</t>
        </r>
      </text>
    </comment>
    <comment ref="Y57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bonificacion de diferencias de nomina con seguridad social y bonificacion de maria salamanca por 477,000 que seria del mes de febrero y se descargo en el momento del pago
</t>
        </r>
      </text>
    </comment>
    <comment ref="Z57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bonificacion de diferencias de nomina con seguridad social y bonificacion de maria salamanca por 477,000 que seria del mes de febrero y se descargo en el momento del pago
</t>
        </r>
      </text>
    </comment>
    <comment ref="V58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SIN SOPORTE, COMPRA DE ZAPATOS
</t>
        </r>
      </text>
    </comment>
    <comment ref="CB70" authorId="1" shapeId="0" xr:uid="{00000000-0006-0000-0300-00000F000000}">
      <text>
        <r>
          <rPr>
            <b/>
            <sz val="9"/>
            <rFont val="Tahoma"/>
            <family val="2"/>
          </rPr>
          <t>HONORARIOS CALA ASOCIADOS 11,000,000</t>
        </r>
      </text>
    </comment>
    <comment ref="AR79" authorId="0" shapeId="0" xr:uid="{00000000-0006-0000-0300-000010000000}">
      <text>
        <r>
          <rPr>
            <b/>
            <sz val="9"/>
            <rFont val="Tahoma"/>
            <family val="2"/>
          </rPr>
          <t>USUARIO:</t>
        </r>
        <r>
          <rPr>
            <sz val="9"/>
            <rFont val="Tahoma"/>
            <family val="2"/>
          </rPr>
          <t xml:space="preserve">
SON 18,157,441 DE CC PUENTE Y 2251110 DE INVERSIONES  SER VICIOS Y ASESORIAS
</t>
        </r>
      </text>
    </comment>
    <comment ref="N92" authorId="0" shapeId="0" xr:uid="{24ACFBEC-5C8C-4EEF-9200-FC631E065BF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DINEROS CONSIGNADOS TEMPORALES CALA (JOHANA-ROCIO-LUZMERY-MARIATERESA) Y SUELDO MILTON AÑO 2025 JELCOM, ESTOS VALORES ESTAN SIN SOPORTE</t>
        </r>
      </text>
    </comment>
    <comment ref="Q92" authorId="0" shapeId="0" xr:uid="{8367ECB1-F4F4-440F-9CC7-2281CB487B5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SIN DOCUMENTO SOPORTE</t>
        </r>
      </text>
    </comment>
    <comment ref="R92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1.700.000 maria alejandra lopez rueda 1.000.000 Juan Sebastian Mors  y 150.000 Jose mario Trillos
 sin documento soporte</t>
        </r>
      </text>
    </comment>
    <comment ref="S9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875.000 maria alejandra lopez rueda sin documento soporte</t>
        </r>
      </text>
    </comment>
    <comment ref="V9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Servicio Temporal a nombre de Jose Sin Documento Soporte Y A nombre de nicol por llamadas realizadas de cajasan y noriega</t>
        </r>
      </text>
    </comment>
    <comment ref="W92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Servicio Temporal a nombre de Jose Sin Documento Soporte</t>
        </r>
      </text>
    </comment>
    <comment ref="Z9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servicio de grabaciones de video a nombre de jose mario diaz trillos y servicio por dia trabajado para realizar llamadas de zully rodriguez sin documento soporte
</t>
        </r>
      </text>
    </comment>
    <comment ref="AA9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Servicio de edicion y grabacion de reels a nombre de jose mario diaz sin documento soporte
</t>
        </r>
      </text>
    </comment>
    <comment ref="AB92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Servicio de edicion y grabacion de reels a nombre de jose mario diaz sin documento soporte
</t>
        </r>
      </text>
    </comment>
    <comment ref="BB92" authorId="0" shapeId="0" xr:uid="{00000000-0006-0000-0300-000018000000}">
      <text>
        <r>
          <rPr>
            <b/>
            <sz val="9"/>
            <rFont val="Tahoma"/>
            <family val="2"/>
          </rPr>
          <t>USUARIO:</t>
        </r>
        <r>
          <rPr>
            <sz val="9"/>
            <rFont val="Tahoma"/>
            <family val="2"/>
          </rPr>
          <t xml:space="preserve">
NO TIENE DOCUMENTO SOPORTE
</t>
        </r>
      </text>
    </comment>
    <comment ref="AP10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sin documento soporte</t>
        </r>
      </text>
    </comment>
    <comment ref="AE123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Factura Posada Don Agustin</t>
        </r>
      </text>
    </comment>
    <comment ref="Z141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Gastos de restaurante la rueda en san gil a nombre de paola andrea rueda sin doc soporte
</t>
        </r>
      </text>
    </comment>
    <comment ref="AA161" authorId="0" shapeId="0" xr:uid="{99669BAE-36FE-4219-AAEA-61796E1AF3C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intereses del acuerdo de pago
</t>
        </r>
      </text>
    </comment>
    <comment ref="AI168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IMPUESTO ASUMIDO RETENCION QUE SE APLICO Y NO SE TUVO EN CUENTA LAS DEVOLUCIONES</t>
        </r>
      </text>
    </comment>
  </commentList>
</comments>
</file>

<file path=xl/sharedStrings.xml><?xml version="1.0" encoding="utf-8"?>
<sst xmlns="http://schemas.openxmlformats.org/spreadsheetml/2006/main" count="958" uniqueCount="666">
  <si>
    <t>JELCOM SOLUCIONES EMPRESARIALES SAS</t>
  </si>
  <si>
    <t>NIT. 901360819</t>
  </si>
  <si>
    <t>ESTADO DE SITUACIÓN FINANCIERA A:</t>
  </si>
  <si>
    <t>(Cifras expresadas en pesos colombianos - M$)</t>
  </si>
  <si>
    <t>ACTIVO</t>
  </si>
  <si>
    <t>NOTA</t>
  </si>
  <si>
    <t>31.10.2024</t>
  </si>
  <si>
    <t>30.09.2024</t>
  </si>
  <si>
    <t>31.08.2024</t>
  </si>
  <si>
    <t>31.07.2024</t>
  </si>
  <si>
    <t>30.06.2024</t>
  </si>
  <si>
    <t>31.05.2024</t>
  </si>
  <si>
    <t>30.04.2024</t>
  </si>
  <si>
    <t>31.03.2024</t>
  </si>
  <si>
    <t>29.02.2023</t>
  </si>
  <si>
    <t>31.01.2024</t>
  </si>
  <si>
    <t>31.12.2023</t>
  </si>
  <si>
    <t>30.11.2023</t>
  </si>
  <si>
    <t>31.10.2023</t>
  </si>
  <si>
    <t>30.09.2023</t>
  </si>
  <si>
    <t>31.08.2023</t>
  </si>
  <si>
    <t>30.07.2023</t>
  </si>
  <si>
    <t>30.06.2023</t>
  </si>
  <si>
    <t>31.05.2023</t>
  </si>
  <si>
    <t>31.04.2023</t>
  </si>
  <si>
    <t>31.03.2023</t>
  </si>
  <si>
    <t>28.02.2023</t>
  </si>
  <si>
    <t>31.01.2023</t>
  </si>
  <si>
    <t>31.12.2022</t>
  </si>
  <si>
    <t>30.11.2022</t>
  </si>
  <si>
    <t>31.10.2022</t>
  </si>
  <si>
    <t>30.09.2022</t>
  </si>
  <si>
    <t>31.08.2022</t>
  </si>
  <si>
    <t>31.07.2022</t>
  </si>
  <si>
    <t>30.06.2022</t>
  </si>
  <si>
    <t>31.05.2022</t>
  </si>
  <si>
    <t>31.04.2022</t>
  </si>
  <si>
    <t>31.03.2022</t>
  </si>
  <si>
    <t>28.02.2022</t>
  </si>
  <si>
    <t>31.01.2022</t>
  </si>
  <si>
    <t>31.12.2021</t>
  </si>
  <si>
    <t>30.09.2021</t>
  </si>
  <si>
    <t>30.08.2021</t>
  </si>
  <si>
    <t>30.07.2021</t>
  </si>
  <si>
    <t>30.06.2021</t>
  </si>
  <si>
    <t>01.05.2021</t>
  </si>
  <si>
    <t>31.12.2020</t>
  </si>
  <si>
    <t>Corriente</t>
  </si>
  <si>
    <t xml:space="preserve">   Efectivo y Equivalentes al Efectivo</t>
  </si>
  <si>
    <t xml:space="preserve">   Instrumentos Financieros Cuentas Por Cobrar</t>
  </si>
  <si>
    <t xml:space="preserve">                                                  Total </t>
  </si>
  <si>
    <t>No corriente</t>
  </si>
  <si>
    <t xml:space="preserve">   Propiedad Planta y Equipo</t>
  </si>
  <si>
    <t xml:space="preserve">   Activos Diferido</t>
  </si>
  <si>
    <t xml:space="preserve">Total Activo </t>
  </si>
  <si>
    <t>PASIVOS</t>
  </si>
  <si>
    <t xml:space="preserve">   Financieros </t>
  </si>
  <si>
    <t xml:space="preserve">   Proveedores Y Acreedores Comerciales</t>
  </si>
  <si>
    <t xml:space="preserve">   No Finaniceros</t>
  </si>
  <si>
    <t xml:space="preserve">   Fiscales</t>
  </si>
  <si>
    <t xml:space="preserve">   Por Beneficios a Empleados</t>
  </si>
  <si>
    <t>Total Pasivo</t>
  </si>
  <si>
    <t>PATRIMONIO</t>
  </si>
  <si>
    <t>Capital Social</t>
  </si>
  <si>
    <t>Capital suscrito y Pagado</t>
  </si>
  <si>
    <t>Reservas</t>
  </si>
  <si>
    <t>Donaciones en Bienes inmuebles</t>
  </si>
  <si>
    <t>Resultado de ejercicios anteriores</t>
  </si>
  <si>
    <t>Resultado del ejercicio</t>
  </si>
  <si>
    <t>Total Patrimonio</t>
  </si>
  <si>
    <t>Total Pasivo + Patrimonio</t>
  </si>
  <si>
    <t>Representante Legal</t>
  </si>
  <si>
    <t>JIMMY ARCHILA SILVA</t>
  </si>
  <si>
    <t>ESTADO DE RESULTADOS</t>
  </si>
  <si>
    <t xml:space="preserve">PARA LOS PERIODOS TERMINADOS </t>
  </si>
  <si>
    <t>INGRESOS</t>
  </si>
  <si>
    <t>Nota</t>
  </si>
  <si>
    <t>01.10.2024</t>
  </si>
  <si>
    <t>01.09.2024</t>
  </si>
  <si>
    <t>01.08.2024</t>
  </si>
  <si>
    <t>01.07.2024</t>
  </si>
  <si>
    <t>01.06.2024</t>
  </si>
  <si>
    <t>01.05.2024</t>
  </si>
  <si>
    <t>01.04.2024</t>
  </si>
  <si>
    <t>01.03.2024</t>
  </si>
  <si>
    <t>01.02.2024</t>
  </si>
  <si>
    <t>01.01.2024</t>
  </si>
  <si>
    <t>01.01.2023</t>
  </si>
  <si>
    <t>01.12.2023</t>
  </si>
  <si>
    <t>01.11.2023</t>
  </si>
  <si>
    <t>01.10.2023</t>
  </si>
  <si>
    <t>01.09.2023</t>
  </si>
  <si>
    <t>01.08.2023</t>
  </si>
  <si>
    <t>01.07.2023</t>
  </si>
  <si>
    <t>01.06.2023</t>
  </si>
  <si>
    <t>01.05.2023</t>
  </si>
  <si>
    <t>01.04.2023</t>
  </si>
  <si>
    <t>01.03.2023</t>
  </si>
  <si>
    <t>01.02.2023</t>
  </si>
  <si>
    <t>01.01.2022</t>
  </si>
  <si>
    <t>01.10.2022</t>
  </si>
  <si>
    <t>01.09.2022</t>
  </si>
  <si>
    <t>01.08.2022</t>
  </si>
  <si>
    <t>01.07.2022</t>
  </si>
  <si>
    <t>01.06.2022</t>
  </si>
  <si>
    <t>01.05.2022</t>
  </si>
  <si>
    <t>01.04.2019</t>
  </si>
  <si>
    <t>01.03.2020</t>
  </si>
  <si>
    <t>01.02.2021</t>
  </si>
  <si>
    <t>01.01.2021</t>
  </si>
  <si>
    <t>01.10.2021</t>
  </si>
  <si>
    <t>01.09.2021</t>
  </si>
  <si>
    <t>01.08.2021</t>
  </si>
  <si>
    <t>01.07.2021</t>
  </si>
  <si>
    <t>01.06.2021</t>
  </si>
  <si>
    <t>01.12.2020</t>
  </si>
  <si>
    <t>01.12.2017</t>
  </si>
  <si>
    <t>01.12.2016</t>
  </si>
  <si>
    <t>28.02.2024</t>
  </si>
  <si>
    <t>31.07.2023</t>
  </si>
  <si>
    <t>30.04.2023</t>
  </si>
  <si>
    <t>30.08.2022</t>
  </si>
  <si>
    <t>30.05.2022</t>
  </si>
  <si>
    <t>30.04.2022</t>
  </si>
  <si>
    <t>30.10.2021</t>
  </si>
  <si>
    <t>31.05.2021</t>
  </si>
  <si>
    <t>31.12.2017</t>
  </si>
  <si>
    <t>31.12.2016</t>
  </si>
  <si>
    <t>INGRESOS OPERACIONALES</t>
  </si>
  <si>
    <t xml:space="preserve">   Devoluciones y Descuentos</t>
  </si>
  <si>
    <t>INGRESOS  NO OPERACIONALES</t>
  </si>
  <si>
    <t xml:space="preserve"> Subsidio de Nomina</t>
  </si>
  <si>
    <t>Ajuste al peso</t>
  </si>
  <si>
    <t>Reintegro Costos y gastos</t>
  </si>
  <si>
    <t>TOTAL INGRESOS</t>
  </si>
  <si>
    <t>UTILIDAD OPERACIONAL</t>
  </si>
  <si>
    <t>GASTOS DE ADMINISTRACION</t>
  </si>
  <si>
    <t xml:space="preserve">   Gastos de Personal</t>
  </si>
  <si>
    <t xml:space="preserve">   Contribuciones y afiliaciones</t>
  </si>
  <si>
    <t xml:space="preserve">   Impuestos</t>
  </si>
  <si>
    <t xml:space="preserve">   Arrendamientos </t>
  </si>
  <si>
    <t xml:space="preserve">   Seguros</t>
  </si>
  <si>
    <t xml:space="preserve">   Servicios</t>
  </si>
  <si>
    <t xml:space="preserve">   Gastos Legales</t>
  </si>
  <si>
    <t xml:space="preserve">   Mantenimiento y reparacion</t>
  </si>
  <si>
    <t xml:space="preserve">   Gastos de Viaje</t>
  </si>
  <si>
    <t xml:space="preserve">   Depreciacion</t>
  </si>
  <si>
    <t xml:space="preserve">   Diversos </t>
  </si>
  <si>
    <t xml:space="preserve">   Comisiones</t>
  </si>
  <si>
    <t>GASTOS NO OPERACIONALES</t>
  </si>
  <si>
    <t xml:space="preserve">   Financieros</t>
  </si>
  <si>
    <t xml:space="preserve">   Gastos Extraordinarios </t>
  </si>
  <si>
    <t>TOTAL GASTOS</t>
  </si>
  <si>
    <t>GANANCIA ANTES DE IMPUESTOS.</t>
  </si>
  <si>
    <t>RESULTADO  TOTAL DEL PERIODO.</t>
  </si>
  <si>
    <t>EDGAR ORLANDO LESMEZ</t>
  </si>
  <si>
    <t>NOTAS A LOS ESTADOS FINANCIEROS</t>
  </si>
  <si>
    <t xml:space="preserve"> </t>
  </si>
  <si>
    <t>CONCEPTO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</si>
  <si>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</si>
  <si>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</si>
  <si>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</si>
  <si>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</si>
  <si>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</si>
  <si>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</si>
  <si>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</si>
  <si>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</si>
  <si>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</si>
  <si>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</si>
  <si>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DICIEMBRE</t>
  </si>
  <si>
    <t>NOVIEMBRE</t>
  </si>
  <si>
    <t>FEBERERO</t>
  </si>
  <si>
    <t>Instrumentos Financieros Cuentas Por Cobrar</t>
  </si>
  <si>
    <t xml:space="preserve">     Clientes Nacionales</t>
  </si>
  <si>
    <t xml:space="preserve">       Departamento de Santander</t>
  </si>
  <si>
    <t xml:space="preserve">       Noriega Campiño y CIA S en C</t>
  </si>
  <si>
    <t xml:space="preserve">       Cajasan</t>
  </si>
  <si>
    <t xml:space="preserve">       Camara de Comercio de Bucaramanga</t>
  </si>
  <si>
    <t xml:space="preserve">       Cubik Construcciones SAS</t>
  </si>
  <si>
    <t xml:space="preserve">       Centro Comercial San Gil Plaza</t>
  </si>
  <si>
    <t xml:space="preserve">       Jhoan Sebastian Dueñas Gomez (Duoptica)</t>
  </si>
  <si>
    <t xml:space="preserve">       Jose Alberto Bastilla Hernandez</t>
  </si>
  <si>
    <t xml:space="preserve">       Gustavo Benitez Verdugo</t>
  </si>
  <si>
    <t xml:space="preserve">       Metrogas de Colombia S.A</t>
  </si>
  <si>
    <t xml:space="preserve">       Federacion Nacional de Comerciantes </t>
  </si>
  <si>
    <t xml:space="preserve">        Faustino Tapias</t>
  </si>
  <si>
    <t xml:space="preserve">        Edwin Leonardo Vincherry Valbuena</t>
  </si>
  <si>
    <t xml:space="preserve">       Centro Comercial El Puente</t>
  </si>
  <si>
    <t xml:space="preserve"> Cuentas por cobrar a socios </t>
  </si>
  <si>
    <t xml:space="preserve">    Credito personal (Edgar lezmez)</t>
  </si>
  <si>
    <t>Seguros Generales Suramericana SA</t>
  </si>
  <si>
    <t xml:space="preserve">     Ana Milena Valdes</t>
  </si>
  <si>
    <t xml:space="preserve"> Cuentas por cobrar a trabajadores</t>
  </si>
  <si>
    <t xml:space="preserve">    Otros Anticipos </t>
  </si>
  <si>
    <t xml:space="preserve">Anticipos y avances </t>
  </si>
  <si>
    <t>Prestamos a Particulares</t>
  </si>
  <si>
    <t xml:space="preserve"> Anticipo de Impuestos </t>
  </si>
  <si>
    <t xml:space="preserve">    Impuesto de Renta y Complementarios </t>
  </si>
  <si>
    <t xml:space="preserve">    Retencion en la Fuente</t>
  </si>
  <si>
    <t xml:space="preserve">    Auto-Renta </t>
  </si>
  <si>
    <t>INVENTARIOS</t>
  </si>
  <si>
    <t>Mercancias no fabricadas</t>
  </si>
  <si>
    <t>Ajuste Inventario final</t>
  </si>
  <si>
    <t>TOTAL INVENTARIOS</t>
  </si>
  <si>
    <t>Propiedad Planta Y Equipo</t>
  </si>
  <si>
    <t xml:space="preserve"> Equipo de Oficina</t>
  </si>
  <si>
    <t xml:space="preserve">    Muebles y Enseres </t>
  </si>
  <si>
    <t xml:space="preserve">    Depreciación </t>
  </si>
  <si>
    <t xml:space="preserve"> Equipo de Comp. Y Comunicación </t>
  </si>
  <si>
    <t xml:space="preserve">    Equipo de Procesamiento de datos </t>
  </si>
  <si>
    <t>Activos Diferidos</t>
  </si>
  <si>
    <t>Otros Activos</t>
  </si>
  <si>
    <t>TOTAL ACTIVOS</t>
  </si>
  <si>
    <t>PASIVO</t>
  </si>
  <si>
    <t>,</t>
  </si>
  <si>
    <t>Cuentas Corrientes Comerciales</t>
  </si>
  <si>
    <t>Centro Comercial El Puente</t>
  </si>
  <si>
    <t>No Finaniceros</t>
  </si>
  <si>
    <t xml:space="preserve"> Retenciones y Aportes de Nomina </t>
  </si>
  <si>
    <t xml:space="preserve">    Entidades promotoras de salud</t>
  </si>
  <si>
    <t xml:space="preserve">    Administradoras de Riegos</t>
  </si>
  <si>
    <t xml:space="preserve">    Aportes Cajas de Compensación</t>
  </si>
  <si>
    <t xml:space="preserve"> Acreedores Varios </t>
  </si>
  <si>
    <t xml:space="preserve">   Fondos de Cesantías y Pensiones </t>
  </si>
  <si>
    <t xml:space="preserve">    Fondo de solidaridad</t>
  </si>
  <si>
    <t xml:space="preserve"> Fiscales </t>
  </si>
  <si>
    <t xml:space="preserve">   Auto-Renta </t>
  </si>
  <si>
    <t xml:space="preserve">    Provision Renta</t>
  </si>
  <si>
    <t xml:space="preserve">   Retencion fuente</t>
  </si>
  <si>
    <t xml:space="preserve">    Generado </t>
  </si>
  <si>
    <t xml:space="preserve">    Descontable </t>
  </si>
  <si>
    <t>Devoluciones</t>
  </si>
  <si>
    <t>Por Beneficios A Empleados</t>
  </si>
  <si>
    <t xml:space="preserve">   Salarios por pagar</t>
  </si>
  <si>
    <t xml:space="preserve">   Cesantías</t>
  </si>
  <si>
    <t xml:space="preserve">   Intereses sobre cesantías</t>
  </si>
  <si>
    <t xml:space="preserve">   Prima</t>
  </si>
  <si>
    <t xml:space="preserve">   Vacaciones Consolidadas</t>
  </si>
  <si>
    <t>Otros pasivos</t>
  </si>
  <si>
    <t>TOTAL PASIVO</t>
  </si>
  <si>
    <t xml:space="preserve">PATRIMONIO </t>
  </si>
  <si>
    <t xml:space="preserve">TOTAL PATRIMONIO </t>
  </si>
  <si>
    <t xml:space="preserve">NIT. 900.566.015-4   </t>
  </si>
  <si>
    <t>OCTU</t>
  </si>
  <si>
    <t>SEPTI</t>
  </si>
  <si>
    <t>AGOST</t>
  </si>
  <si>
    <t>JUL</t>
  </si>
  <si>
    <t>JUN</t>
  </si>
  <si>
    <t xml:space="preserve">   Actividades de Centro de Llamadas</t>
  </si>
  <si>
    <t xml:space="preserve">  Devoluciones</t>
  </si>
  <si>
    <t>NO OPERACIONALES</t>
  </si>
  <si>
    <t>GASTOS DE ADMON</t>
  </si>
  <si>
    <t>DE PERSONAL</t>
  </si>
  <si>
    <t xml:space="preserve">Sueldos </t>
  </si>
  <si>
    <t>Apoyo sostenimiento aprendices</t>
  </si>
  <si>
    <t>Auxilio de transporte</t>
  </si>
  <si>
    <t>Viaticos</t>
  </si>
  <si>
    <t>Cesantias</t>
  </si>
  <si>
    <t>Intereses a la cesantias</t>
  </si>
  <si>
    <t>Prima de servicios</t>
  </si>
  <si>
    <t>Vacaciones</t>
  </si>
  <si>
    <t>Bonificaciones</t>
  </si>
  <si>
    <t>Dotaciones y Suministros a Trab</t>
  </si>
  <si>
    <t xml:space="preserve">Indemnizaciones </t>
  </si>
  <si>
    <t xml:space="preserve">Aportes Riesgos Profesionales </t>
  </si>
  <si>
    <t>Aportes salud</t>
  </si>
  <si>
    <t>Aportes pension</t>
  </si>
  <si>
    <t>Aportes caja de compensacion</t>
  </si>
  <si>
    <t>Capacitaciones</t>
  </si>
  <si>
    <t xml:space="preserve">Gastos de deporte y recreacion </t>
  </si>
  <si>
    <t xml:space="preserve">TOTAL </t>
  </si>
  <si>
    <t>HONORARIOS</t>
  </si>
  <si>
    <t>Asesoría Jurídica</t>
  </si>
  <si>
    <t>Asesoria contable y Financiera</t>
  </si>
  <si>
    <t xml:space="preserve">Otros </t>
  </si>
  <si>
    <t>TOTAL HONORARIOS</t>
  </si>
  <si>
    <t>IMPUESTOS</t>
  </si>
  <si>
    <t>Insdustria Y Comercio</t>
  </si>
  <si>
    <t>Vehiculo</t>
  </si>
  <si>
    <t>ARRENDAMIENTO</t>
  </si>
  <si>
    <t>Construcciones y Edificaciones</t>
  </si>
  <si>
    <t>Otros</t>
  </si>
  <si>
    <t>Afiliaciones y Sostenimiento</t>
  </si>
  <si>
    <t>SEGUROS</t>
  </si>
  <si>
    <t>Cumplimiento</t>
  </si>
  <si>
    <t>Vida Colectivo</t>
  </si>
  <si>
    <t>Otros ( renovacion polizas)</t>
  </si>
  <si>
    <t>SERVICIOS</t>
  </si>
  <si>
    <t>Temporales</t>
  </si>
  <si>
    <t>Aseo y vigilancia</t>
  </si>
  <si>
    <t>Servicios - Procesamiento electrónico de datos</t>
  </si>
  <si>
    <t>Acueducto y Alcantarillado</t>
  </si>
  <si>
    <t>Energia electrica</t>
  </si>
  <si>
    <t>Telefono</t>
  </si>
  <si>
    <t xml:space="preserve">Internet </t>
  </si>
  <si>
    <t>Gas</t>
  </si>
  <si>
    <t>Publicidad</t>
  </si>
  <si>
    <t xml:space="preserve"> Correo Porte y Telegramas</t>
  </si>
  <si>
    <t xml:space="preserve"> Transporte Flete y Acarreos</t>
  </si>
  <si>
    <t>Cámara de Comercio</t>
  </si>
  <si>
    <t>Industria y Comercio</t>
  </si>
  <si>
    <t>Transito</t>
  </si>
  <si>
    <t>Tramites</t>
  </si>
  <si>
    <t>MANTENIMIENTO</t>
  </si>
  <si>
    <t>Construcciones y edificaciones</t>
  </si>
  <si>
    <t>Equipo de oficina</t>
  </si>
  <si>
    <t>Equipo de computación y comunicación</t>
  </si>
  <si>
    <t xml:space="preserve">Flota y Equipo de Transporte </t>
  </si>
  <si>
    <t>Otros - Oficina</t>
  </si>
  <si>
    <t>GASTOS DE VIAJE</t>
  </si>
  <si>
    <t>Restaurantes</t>
  </si>
  <si>
    <t>Alojamiento y Manutencion</t>
  </si>
  <si>
    <t>Pasajes Aereos</t>
  </si>
  <si>
    <t xml:space="preserve">Pasajes terrestres </t>
  </si>
  <si>
    <t>Peajes</t>
  </si>
  <si>
    <t xml:space="preserve">Viaticos </t>
  </si>
  <si>
    <t>DEPRECIACION</t>
  </si>
  <si>
    <t>DIVERSOS</t>
  </si>
  <si>
    <t>Comisiones</t>
  </si>
  <si>
    <t>Gastos de representacion</t>
  </si>
  <si>
    <t xml:space="preserve"> Elementos de cafeteria y aseo</t>
  </si>
  <si>
    <t>Combustibles y lubricantes</t>
  </si>
  <si>
    <t>Taxis y buses</t>
  </si>
  <si>
    <t>Casino Y Restaurante</t>
  </si>
  <si>
    <t xml:space="preserve">Buses, domicilios </t>
  </si>
  <si>
    <t xml:space="preserve">Parqueaderos </t>
  </si>
  <si>
    <t xml:space="preserve"> Gastos tc</t>
  </si>
  <si>
    <t>Diversos</t>
  </si>
  <si>
    <t>Estampillas</t>
  </si>
  <si>
    <t>TOTAL GASTOS DE ADMON</t>
  </si>
  <si>
    <t xml:space="preserve">GASTOS NO OPERACIONALES </t>
  </si>
  <si>
    <t xml:space="preserve">   Intereses    </t>
  </si>
  <si>
    <t xml:space="preserve">   Gastos Bancarios</t>
  </si>
  <si>
    <t xml:space="preserve">   Gravamenes</t>
  </si>
  <si>
    <t xml:space="preserve">   Intereses de Mora</t>
  </si>
  <si>
    <t>GASTOS EXTRAORDINARIOS</t>
  </si>
  <si>
    <t xml:space="preserve">    Costos y gastos de ejercicios anteriores</t>
  </si>
  <si>
    <t xml:space="preserve">    Impuestos Vigencias Anteriores</t>
  </si>
  <si>
    <t xml:space="preserve">    Impuestos asumidos </t>
  </si>
  <si>
    <t>TOTALGASTOS EXTRAORDINARIOS</t>
  </si>
  <si>
    <t>TOTAL GASTOS NO OPERACIONALES</t>
  </si>
  <si>
    <t>PROVISION IMP. RENTA</t>
  </si>
  <si>
    <t>RESULTADO INTEGRAL TOTAL DEL PERIODO.</t>
  </si>
  <si>
    <t>DINERO DEL ING EDGAR</t>
  </si>
  <si>
    <t>FECHA</t>
  </si>
  <si>
    <t>VALOR</t>
  </si>
  <si>
    <t xml:space="preserve">pagar arriendos atrasados </t>
  </si>
  <si>
    <t>pagos jelcom</t>
  </si>
  <si>
    <t>pagos jelcom nomina planilla arriendo</t>
  </si>
  <si>
    <t xml:space="preserve">dia de la mujer </t>
  </si>
  <si>
    <t>Para pagar dyalogo</t>
  </si>
  <si>
    <t xml:space="preserve">camara de comercio pago viaticos sueldos </t>
  </si>
  <si>
    <t>Pagos jelcom</t>
  </si>
  <si>
    <t>ABONO</t>
  </si>
  <si>
    <t>Agosto</t>
  </si>
  <si>
    <t>PROGRAMA ENTIDADES DE SALUD</t>
  </si>
  <si>
    <t>PAGOS JELCOM</t>
  </si>
  <si>
    <t>INTERESES</t>
  </si>
  <si>
    <t>INTERESES X6 MESES</t>
  </si>
  <si>
    <t>EFECTIVO</t>
  </si>
  <si>
    <t>NOV. 2023</t>
  </si>
  <si>
    <t xml:space="preserve">SE ABONO </t>
  </si>
  <si>
    <t>24/06/2024</t>
  </si>
  <si>
    <t>SALDO A  OCTUBRE 01 DE 2024</t>
  </si>
  <si>
    <t>DINERO DEL DOC JIMMY</t>
  </si>
  <si>
    <t>21/12/2022</t>
  </si>
  <si>
    <t>Pagos Jelcom</t>
  </si>
  <si>
    <t>29/10/2023</t>
  </si>
  <si>
    <t xml:space="preserve">mensajes doct </t>
  </si>
  <si>
    <t xml:space="preserve">JELCOM </t>
  </si>
  <si>
    <t>IVA</t>
  </si>
  <si>
    <t>TOTAL</t>
  </si>
  <si>
    <t>Luz</t>
  </si>
  <si>
    <t>FACTURA JELCOM MENSUAL</t>
  </si>
  <si>
    <t>Neto</t>
  </si>
  <si>
    <t>Iva</t>
  </si>
  <si>
    <t>Superior Pinturas</t>
  </si>
  <si>
    <t>Cajasan</t>
  </si>
  <si>
    <t>La principal</t>
  </si>
  <si>
    <t>Norcam</t>
  </si>
  <si>
    <t>GASTOS MENSUALES JELCOM</t>
  </si>
  <si>
    <t>Arriendo</t>
  </si>
  <si>
    <t>Nominas</t>
  </si>
  <si>
    <t>Dialogo</t>
  </si>
  <si>
    <t>IT internet</t>
  </si>
  <si>
    <t>JELCOM SOLUCIONES EMPRESARIALES</t>
  </si>
  <si>
    <t>NIT 901360819</t>
  </si>
  <si>
    <t>DEUDAS DE IMPUESTOS -DIAN</t>
  </si>
  <si>
    <t>AÑO</t>
  </si>
  <si>
    <t>PERIODO</t>
  </si>
  <si>
    <t>IMPUESTO</t>
  </si>
  <si>
    <t>CERTIFICADO</t>
  </si>
  <si>
    <t>ENTIDAD</t>
  </si>
  <si>
    <t>FACTURADO</t>
  </si>
  <si>
    <t>RETE ICA</t>
  </si>
  <si>
    <t>CAJASAN</t>
  </si>
  <si>
    <t>CENTRO COMERCIAL EL PUENTE</t>
  </si>
  <si>
    <t>CENTRO COMERCIAL SAN GIL PLAZA</t>
  </si>
  <si>
    <t>NORIEGA CAMPIÑO &amp; CIA S EN C</t>
  </si>
  <si>
    <t xml:space="preserve">ACTIVO </t>
  </si>
  <si>
    <t>COSTO</t>
  </si>
  <si>
    <t>VIDA UTIL ESTIMADA</t>
  </si>
  <si>
    <t>TIEMPO USADO</t>
  </si>
  <si>
    <t>VIDA  UTIL RESTANTE</t>
  </si>
  <si>
    <t>DEPRECIACION MES</t>
  </si>
  <si>
    <t>EQUIPO DE OFICINA</t>
  </si>
  <si>
    <t xml:space="preserve">   Archivador (2)</t>
  </si>
  <si>
    <t xml:space="preserve">   Puesto Trabajo (2)</t>
  </si>
  <si>
    <t xml:space="preserve">   Estructora de Trabajo (1)</t>
  </si>
  <si>
    <t>EQUIPOS DE COMPUTO</t>
  </si>
  <si>
    <t>Computadores</t>
  </si>
  <si>
    <t>Compra de Audifonos</t>
  </si>
  <si>
    <t>Compra de Celular</t>
  </si>
  <si>
    <t>FLOTA Y EQUIPO DE TRANSPORTE</t>
  </si>
  <si>
    <t xml:space="preserve">Automovil </t>
  </si>
  <si>
    <t xml:space="preserve">TOTAL  ACTIVOS </t>
  </si>
  <si>
    <t>NOV</t>
  </si>
  <si>
    <t>30.11.2024</t>
  </si>
  <si>
    <t>30.12.2024</t>
  </si>
  <si>
    <t>01.11.2024</t>
  </si>
  <si>
    <t>31.12.2024</t>
  </si>
  <si>
    <t>DIC</t>
  </si>
  <si>
    <t>Norcam Octubre, Noviembre, Diciembre</t>
  </si>
  <si>
    <t>Superior P  Noviembre, Diciembre</t>
  </si>
  <si>
    <t>Cajasan Diciembre</t>
  </si>
  <si>
    <t>Dyalogo noviembre, diciembre</t>
  </si>
  <si>
    <t>POR COBRAR</t>
  </si>
  <si>
    <t>POR PAGAR</t>
  </si>
  <si>
    <t>Nominas Diciembre</t>
  </si>
  <si>
    <t>Arriendo diciembre</t>
  </si>
  <si>
    <t>Planilla Asopagos diciembre</t>
  </si>
  <si>
    <t>Total</t>
  </si>
  <si>
    <t xml:space="preserve">    Banco BBVA</t>
  </si>
  <si>
    <t>Caja</t>
  </si>
  <si>
    <t xml:space="preserve">    Edgar Orlando Lezmes</t>
  </si>
  <si>
    <t xml:space="preserve">    Fenalco Sur de Santander</t>
  </si>
  <si>
    <t xml:space="preserve">    Centro Comercial El Puente</t>
  </si>
  <si>
    <t xml:space="preserve">    IT Comunicaciones</t>
  </si>
  <si>
    <t xml:space="preserve">    Dyalogo SAS</t>
  </si>
  <si>
    <t>Iva por Pagar</t>
  </si>
  <si>
    <t xml:space="preserve">Retencion </t>
  </si>
  <si>
    <t>Periodos anteriores</t>
  </si>
  <si>
    <t>OPERACIONALES</t>
  </si>
  <si>
    <t xml:space="preserve">  Ajuste al peso</t>
  </si>
  <si>
    <t>CONTRIBUCIONES Y AFIIACIONES</t>
  </si>
  <si>
    <t>GASTOS LEGAES</t>
  </si>
  <si>
    <t xml:space="preserve">FINANCIEROS </t>
  </si>
  <si>
    <t xml:space="preserve">   Multas y Sanciones</t>
  </si>
  <si>
    <t xml:space="preserve">   Ajuste al peso</t>
  </si>
  <si>
    <t xml:space="preserve">       Antonio Maria Bravo Rodriguez</t>
  </si>
  <si>
    <t xml:space="preserve">    Inversiones servicios y asesoria lTDA</t>
  </si>
  <si>
    <t xml:space="preserve">       Faustino Tapias</t>
  </si>
  <si>
    <t>Costos y Gastos por pagar</t>
  </si>
  <si>
    <t xml:space="preserve">   Costos y Gastos Por Pagar</t>
  </si>
  <si>
    <t xml:space="preserve">   Consignaciones sin Identificar</t>
  </si>
  <si>
    <t xml:space="preserve">    Electrificadora de Santander</t>
  </si>
  <si>
    <t xml:space="preserve">    Posada don Agustin S.A.S</t>
  </si>
  <si>
    <t xml:space="preserve">    Jimmy Archila Silva</t>
  </si>
  <si>
    <t>CONTABLE</t>
  </si>
  <si>
    <t>RETEFUENTE</t>
  </si>
  <si>
    <t>JOSE ALBERTO BASTILLA HERNANDEZ</t>
  </si>
  <si>
    <t>CUENTAS POR COBRAR</t>
  </si>
  <si>
    <t xml:space="preserve">OCTUBRE </t>
  </si>
  <si>
    <t>AÑO 2024</t>
  </si>
  <si>
    <t>CUENTAS POR PAGAR</t>
  </si>
  <si>
    <t xml:space="preserve">   Mesa Juntas </t>
  </si>
  <si>
    <t xml:space="preserve">   Persianas (7)</t>
  </si>
  <si>
    <t>Fenalco Sur de Santander</t>
  </si>
  <si>
    <t>Posada don Agustin S.A.S</t>
  </si>
  <si>
    <t>Dyalogo SAS</t>
  </si>
  <si>
    <t>Noriega Campiño &amp; Cia S En C</t>
  </si>
  <si>
    <t>Jose Alberto Bastilla Hernandez</t>
  </si>
  <si>
    <t xml:space="preserve">RETENCION </t>
  </si>
  <si>
    <t>Planilla seguridad social Asopagos</t>
  </si>
  <si>
    <t>Inversiones servicios y asesoria lTDA (Andres Ribero Garcia)</t>
  </si>
  <si>
    <t>Depreciacion</t>
  </si>
  <si>
    <t xml:space="preserve">COMPARATIVO RENTA </t>
  </si>
  <si>
    <t>Fiscal</t>
  </si>
  <si>
    <t>Contable</t>
  </si>
  <si>
    <t>AÑO GRAVABLE</t>
  </si>
  <si>
    <t>NOMBRE O CONCEPTO</t>
  </si>
  <si>
    <t>SALDO</t>
  </si>
  <si>
    <t>CAJA Y BANCO</t>
  </si>
  <si>
    <t xml:space="preserve">Caja </t>
  </si>
  <si>
    <t>Sub- Total</t>
  </si>
  <si>
    <t>ACCIONES Y APORTES</t>
  </si>
  <si>
    <t xml:space="preserve">Coomuldesa </t>
  </si>
  <si>
    <t>CXC</t>
  </si>
  <si>
    <t>CxC a clientes</t>
  </si>
  <si>
    <t xml:space="preserve">Anticipo de renta </t>
  </si>
  <si>
    <t xml:space="preserve">INVENTARIOS </t>
  </si>
  <si>
    <t>Materiales</t>
  </si>
  <si>
    <t xml:space="preserve">Transporte de materiales </t>
  </si>
  <si>
    <t>ACTIVOS Y FIJOS</t>
  </si>
  <si>
    <t>Terrenos</t>
  </si>
  <si>
    <t>Edificaciones</t>
  </si>
  <si>
    <t>Muebles y Enseres</t>
  </si>
  <si>
    <t>Equipo de Computo y Comunicación</t>
  </si>
  <si>
    <t>Maquinaria y equipo</t>
  </si>
  <si>
    <t>Flota y equipo de transporte</t>
  </si>
  <si>
    <t>Depreciacion acumulada</t>
  </si>
  <si>
    <t>OTROS 
ACTIVOS</t>
  </si>
  <si>
    <t xml:space="preserve">Anticipos Renta </t>
  </si>
  <si>
    <t>Retención en la fuente</t>
  </si>
  <si>
    <t>TOTAL PATRIMONIO BRUTO</t>
  </si>
  <si>
    <t>Proveedores</t>
  </si>
  <si>
    <t>Obligaciones financieras</t>
  </si>
  <si>
    <t>Retenciones y aportes de nomina</t>
  </si>
  <si>
    <t>De clientes</t>
  </si>
  <si>
    <t>Impuesto de renta y complementarios</t>
  </si>
  <si>
    <t>Retencion en la fuente</t>
  </si>
  <si>
    <t>Costos y Gastos Por Pagar</t>
  </si>
  <si>
    <t>TOTAL PATRIMONIO LIQUIDO</t>
  </si>
  <si>
    <t xml:space="preserve">INGRESOS </t>
  </si>
  <si>
    <t>Ingresos brutos por actividades ordinarias</t>
  </si>
  <si>
    <t>Otros ingresos</t>
  </si>
  <si>
    <t xml:space="preserve">Sub-Total </t>
  </si>
  <si>
    <t xml:space="preserve">TOTAL RENTA LIQUIDA </t>
  </si>
  <si>
    <t xml:space="preserve">COSTOS Y DEDUCCIONES </t>
  </si>
  <si>
    <t>Costos</t>
  </si>
  <si>
    <t>Gastos administración</t>
  </si>
  <si>
    <t>Gastos Financieros</t>
  </si>
  <si>
    <t>Sub total</t>
  </si>
  <si>
    <t xml:space="preserve">RENTA LIQUIDA </t>
  </si>
  <si>
    <t xml:space="preserve">TOTAL RENTAS LIQUIDAS </t>
  </si>
  <si>
    <t>Beneficio Auditoria</t>
  </si>
  <si>
    <t>RENTA PRESUNTIVA</t>
  </si>
  <si>
    <t>GANACIA OCACIONAL</t>
  </si>
  <si>
    <t xml:space="preserve">Precios de venta de activos fijos </t>
  </si>
  <si>
    <t xml:space="preserve">Costos de venta de activos fijos </t>
  </si>
  <si>
    <t>GANACIAS OCASIONALES</t>
  </si>
  <si>
    <t>LIQUIDACIÓN PRIVADA</t>
  </si>
  <si>
    <t>Total impuesto a cargo</t>
  </si>
  <si>
    <t>Anticipo renta año anterior</t>
  </si>
  <si>
    <t>Retenciones  año gravable a declarar</t>
  </si>
  <si>
    <t>Anticipo renta año siguiente</t>
  </si>
  <si>
    <t>Sanciones</t>
  </si>
  <si>
    <t>Saldo a favor</t>
  </si>
  <si>
    <t xml:space="preserve">Intereses moratorios </t>
  </si>
  <si>
    <t>TOTAL A PAGAR</t>
  </si>
  <si>
    <t>FECHA DE PRESENTACION DE DECLARACION</t>
  </si>
  <si>
    <t>FECHA DE FIRMEZA</t>
  </si>
  <si>
    <t>TOTAL INGRESOS ORINARIOS</t>
  </si>
  <si>
    <t>TOTAL INGRESOS DE ESTE MUNICIPIO</t>
  </si>
  <si>
    <t>Menos devoluciones, rebajas y descuentos</t>
  </si>
  <si>
    <t>TOTAL IMPUESTO DE INDUSTRIA Y COMERCIO</t>
  </si>
  <si>
    <t>Impuesto de avisos y tableros(15% IMP. ICA)</t>
  </si>
  <si>
    <t xml:space="preserve">Menos retenciones </t>
  </si>
  <si>
    <t>TOTAL IMPUESTO</t>
  </si>
  <si>
    <t xml:space="preserve">DECLARACION ANUAL DEL IMPUESTO DE INDUSTRIA Y COMERCIO, AVISOS Y TABLEROS </t>
  </si>
  <si>
    <t xml:space="preserve">LIQUIDACION REAL </t>
  </si>
  <si>
    <t>TOTAL INGRESOS GRAVABLES TARIFA (POR MIL)</t>
  </si>
  <si>
    <t>Descuento por pronto pago</t>
  </si>
  <si>
    <t>2024</t>
  </si>
  <si>
    <t>Banco BBVA</t>
  </si>
  <si>
    <t>Autorrenta</t>
  </si>
  <si>
    <t>Rete-Ica</t>
  </si>
  <si>
    <t>ACTIVO DIFERIDO</t>
  </si>
  <si>
    <t>beneficios a empleados</t>
  </si>
  <si>
    <t>Otros Pasivos</t>
  </si>
  <si>
    <t>Retencion Y IVA</t>
  </si>
  <si>
    <t>01.12.2024</t>
  </si>
  <si>
    <t xml:space="preserve"> Equipo de Oficina (Muebles y Enseres)</t>
  </si>
  <si>
    <t>Equipo de computo y Comunicación</t>
  </si>
  <si>
    <t>Alirio Salaza Bayona</t>
  </si>
  <si>
    <t>Antonio Maria Rodriguez Bravo</t>
  </si>
  <si>
    <t>Caja Santandereana - Cajasan</t>
  </si>
  <si>
    <t>Camara De Comercio De Bucaramanga</t>
  </si>
  <si>
    <t>Centro De Diagnostico Automotor Cotrasangil</t>
  </si>
  <si>
    <t>Centro Comercial San Gil Plaza</t>
  </si>
  <si>
    <t>Clever Moves Sas</t>
  </si>
  <si>
    <t>Cooperativa Multiactiva De Hilados Del Fonce Limitada</t>
  </si>
  <si>
    <t>Cubik Construcciones Sas</t>
  </si>
  <si>
    <t>Dugoptica SAS</t>
  </si>
  <si>
    <t>Edwin Leonardo Vinchery Valbuena</t>
  </si>
  <si>
    <t>Fenalco Sur De Santander</t>
  </si>
  <si>
    <t>Faustino Tapias</t>
  </si>
  <si>
    <t>Fundacion Medica Marie Curie S.A.S</t>
  </si>
  <si>
    <t>Gustavo Benitez Berdugo</t>
  </si>
  <si>
    <t>Jhoan Sebastian Dueñas Gomez</t>
  </si>
  <si>
    <t xml:space="preserve"> Actividades de Centro de Llamadas</t>
  </si>
  <si>
    <t>Hector Armando Norriega Carrizosa</t>
  </si>
  <si>
    <t>Metrogas de Colombia S.A</t>
  </si>
  <si>
    <t>01.12.2022</t>
  </si>
  <si>
    <t>01.11.2022</t>
  </si>
  <si>
    <t>Cooperativa de Caficultores de santander LTA</t>
  </si>
  <si>
    <t>Departamento de Santander</t>
  </si>
  <si>
    <t>ALIRIO SALAZAR BAYONA</t>
  </si>
  <si>
    <t xml:space="preserve">   Gastos Medicos</t>
  </si>
  <si>
    <t xml:space="preserve"> Utiles papeleria y fotocopias</t>
  </si>
  <si>
    <t xml:space="preserve"> Otros</t>
  </si>
  <si>
    <t xml:space="preserve">       Alirio Salazar Bayona</t>
  </si>
  <si>
    <t xml:space="preserve">    Suramericana</t>
  </si>
  <si>
    <t>01.01.2025</t>
  </si>
  <si>
    <t>31.01.2025</t>
  </si>
  <si>
    <t>AÑO 2025</t>
  </si>
  <si>
    <t>Empresa Social del estado Hospital regional de San Gil</t>
  </si>
  <si>
    <t xml:space="preserve">       Empresa Social del Estado Hospital Regional de San Gil</t>
  </si>
  <si>
    <t xml:space="preserve">    Proveedor </t>
  </si>
  <si>
    <t>01.02.2025</t>
  </si>
  <si>
    <t>28.02.2025</t>
  </si>
  <si>
    <t>Proveedor de Telecomunicaciones S.A.S</t>
  </si>
  <si>
    <t xml:space="preserve">Grupo Arte </t>
  </si>
  <si>
    <t>01.03.2025</t>
  </si>
  <si>
    <t>31.03.2025</t>
  </si>
  <si>
    <t xml:space="preserve">    Proveedor de Telecomunicaciones S.A.S</t>
  </si>
  <si>
    <t>01.04.2025</t>
  </si>
  <si>
    <t>30.04.2025</t>
  </si>
  <si>
    <t>01.05.2025</t>
  </si>
  <si>
    <t>31.05.2025</t>
  </si>
  <si>
    <t>01.06.2025</t>
  </si>
  <si>
    <t>30.06.2025</t>
  </si>
  <si>
    <t>Correo</t>
  </si>
  <si>
    <t xml:space="preserve">  Proveedor Tecnologico PSI</t>
  </si>
  <si>
    <t>01.07.2025</t>
  </si>
  <si>
    <t>31.07.2025</t>
  </si>
  <si>
    <t>01.08.2025</t>
  </si>
  <si>
    <t>31.08.2025</t>
  </si>
  <si>
    <t xml:space="preserve">    Centro Medico de excelencia en Salud Ocupacional </t>
  </si>
  <si>
    <t>ACUMULADO</t>
  </si>
  <si>
    <t>01.09.2025</t>
  </si>
  <si>
    <t>30.09.2025</t>
  </si>
  <si>
    <t xml:space="preserve">    Otros (Milton Ruiz)</t>
  </si>
  <si>
    <t>01.10.2025</t>
  </si>
  <si>
    <t>31.10.2025</t>
  </si>
  <si>
    <t>01.11.2025</t>
  </si>
  <si>
    <t>30.11.2025</t>
  </si>
  <si>
    <t xml:space="preserve">    Saldo de Retencion </t>
  </si>
  <si>
    <t xml:space="preserve">     Supermercado multihogar (Ricrado Cobos)</t>
  </si>
  <si>
    <t>01.12.2025</t>
  </si>
  <si>
    <t>31.12.2025</t>
  </si>
  <si>
    <t>CERTIFICADO RETENCION EN LA FUENTE  2025</t>
  </si>
  <si>
    <t>EMPRESA SOCIAL DEL ESTADO HOSPITAL REGIONAL DE SAN GIL</t>
  </si>
  <si>
    <t>GRUPO ARTE SAS</t>
  </si>
  <si>
    <t>PROVEEDOR DE TELECOMUNICACIONES S.A.S.</t>
  </si>
  <si>
    <t>Anticipo a contratistas- Proveedores</t>
  </si>
  <si>
    <t>Mayor valor pagado Retencion</t>
  </si>
  <si>
    <t>RETE IVA</t>
  </si>
  <si>
    <t xml:space="preserve">    Luis Fernanado Vargas Miranda</t>
  </si>
  <si>
    <t xml:space="preserve">    Milton Ruiz Porras</t>
  </si>
  <si>
    <t xml:space="preserve">    Rete Iva 15%</t>
  </si>
  <si>
    <t xml:space="preserve">    Rete Ica</t>
  </si>
  <si>
    <t>01.12.2026</t>
  </si>
  <si>
    <t>01.11.2026</t>
  </si>
  <si>
    <t>01.10.2026</t>
  </si>
  <si>
    <t>01.09.2026</t>
  </si>
  <si>
    <t>01.08.2026</t>
  </si>
  <si>
    <t>01.07.2026</t>
  </si>
  <si>
    <t>01.06.2026</t>
  </si>
  <si>
    <t>01.05.2026</t>
  </si>
  <si>
    <t>01.04.2026</t>
  </si>
  <si>
    <t>01.03.2026</t>
  </si>
  <si>
    <t>01.02.2026</t>
  </si>
  <si>
    <t>01.01.2026</t>
  </si>
  <si>
    <t>31.12.2026</t>
  </si>
  <si>
    <t>30.11.2026</t>
  </si>
  <si>
    <t>31.10.2026</t>
  </si>
  <si>
    <t>30.09.2026</t>
  </si>
  <si>
    <t>31.08.2026</t>
  </si>
  <si>
    <t>31.07.2026</t>
  </si>
  <si>
    <t>30.06.2026</t>
  </si>
  <si>
    <t>31.05.2026</t>
  </si>
  <si>
    <t>30.04.2026</t>
  </si>
  <si>
    <t>31.03.2026</t>
  </si>
  <si>
    <t>28.02.2026</t>
  </si>
  <si>
    <t>31.01.2026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</si>
</sst>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[$$-240A]\ * #,##0.00_);_([$$-240A]\ * \(#,##0.00\);_([$$-240A]\ * &quot;-&quot;??_);_(@_)"/>
    <numFmt numFmtId="167" formatCode="_ * #,##0.00_ ;_ * \-#,##0.00_ ;_ * &quot;-&quot;??_ ;_ @_ "/>
    <numFmt numFmtId="168" formatCode="_-* #,##0.00\ &quot;€&quot;_-;\-* #,##0.00\ &quot;€&quot;_-;_-* &quot;-&quot;??\ &quot;€&quot;_-;_-@_-"/>
    <numFmt numFmtId="169" formatCode="_-* #,##0_-;\-* #,##0_-;_-* &quot;-&quot;??_-;_-@_-"/>
    <numFmt numFmtId="170" formatCode="_-&quot;$&quot;\ * #,##0_-;\-&quot;$&quot;\ * #,##0_-;_-&quot;$&quot;\ * &quot;-&quot;??_-;_-@_-"/>
    <numFmt numFmtId="171" formatCode="_ * #,##0_ ;_ * \-#,##0_ ;_ * &quot;-&quot;??_ ;_ @_ "/>
    <numFmt numFmtId="172" formatCode="_ &quot;$&quot;\ * #,##0.00_ ;_ &quot;$&quot;\ * \-#,##0.00_ ;_ &quot;$&quot;\ * &quot;-&quot;??_ ;_ @_ "/>
    <numFmt numFmtId="173" formatCode="_([$$-240A]\ * #,##0.0_);_([$$-240A]\ * \(#,##0.0\);_([$$-240A]\ * &quot;-&quot;??_);_(@_)"/>
    <numFmt numFmtId="174" formatCode="_(* #,##0_);_(* \(#,##0\);_(* &quot;-&quot;??_);_(@_)"/>
    <numFmt numFmtId="175" formatCode="_-* #,##0.00_-;\-* #,##0.00_-;_-* &quot;-&quot;_-;_-@_-"/>
    <numFmt numFmtId="176" formatCode="_(* #,##0_);_(* \(#,##0\);_(* &quot;-&quot;_);_(@_)"/>
    <numFmt numFmtId="177" formatCode="_-* #,##0.00\ _€_-;\-* #,##0.00\ _€_-;_-* &quot;-&quot;??\ _€_-;_-@_-"/>
    <numFmt numFmtId="178" formatCode="_-* #,##0\ _€_-;\-* #,##0\ _€_-;_-* &quot;-&quot;??\ _€_-;_-@_-"/>
    <numFmt numFmtId="179" formatCode="_-* #,##0.0_-;\-* #,##0.0_-;_-* &quot;-&quot;??_-;_-@_-"/>
  </numFmts>
  <fonts count="100">
    <font>
      <sz val="10"/>
      <name val="Arial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u/>
      <sz val="9"/>
      <name val="Arial"/>
      <family val="2"/>
    </font>
    <font>
      <b/>
      <u/>
      <sz val="9"/>
      <color indexed="56"/>
      <name val="Arial"/>
      <family val="2"/>
    </font>
    <font>
      <b/>
      <i/>
      <sz val="9"/>
      <name val="Arial"/>
      <family val="2"/>
    </font>
    <font>
      <b/>
      <i/>
      <sz val="9"/>
      <color theme="0"/>
      <name val="Arial"/>
      <family val="2"/>
    </font>
    <font>
      <b/>
      <sz val="9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color theme="0"/>
      <name val="Arial"/>
      <family val="2"/>
    </font>
    <font>
      <b/>
      <i/>
      <sz val="11"/>
      <name val="Arial"/>
      <family val="2"/>
    </font>
    <font>
      <sz val="9"/>
      <color theme="0"/>
      <name val="Arial"/>
      <family val="2"/>
    </font>
    <font>
      <i/>
      <sz val="10"/>
      <name val="Arial"/>
      <family val="2"/>
    </font>
    <font>
      <b/>
      <i/>
      <sz val="10"/>
      <color rgb="FFFF0000"/>
      <name val="Arial"/>
      <family val="2"/>
    </font>
    <font>
      <b/>
      <i/>
      <sz val="10"/>
      <name val="Arial"/>
      <family val="2"/>
    </font>
    <font>
      <b/>
      <i/>
      <sz val="16"/>
      <name val="Arial"/>
      <family val="2"/>
    </font>
    <font>
      <b/>
      <i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u/>
      <sz val="10"/>
      <name val="Arial"/>
      <family val="2"/>
    </font>
    <font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2"/>
      <color theme="0"/>
      <name val="Calibri"/>
      <family val="2"/>
      <scheme val="minor"/>
    </font>
    <font>
      <b/>
      <i/>
      <sz val="11"/>
      <color rgb="FFFF0000"/>
      <name val="Arial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theme="8" tint="-0.499984740745262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theme="8" tint="-0.499984740745262"/>
      <name val="Calibri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name val="Verdana   "/>
      <charset val="134"/>
    </font>
    <font>
      <b/>
      <sz val="9"/>
      <name val="Tahoma"/>
      <family val="2"/>
    </font>
    <font>
      <sz val="9"/>
      <name val="Tahoma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color theme="0"/>
      <name val="Arial"/>
      <family val="2"/>
    </font>
    <font>
      <b/>
      <u/>
      <sz val="9"/>
      <color indexed="56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i/>
      <sz val="14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1"/>
      <name val="Arial"/>
      <family val="2"/>
    </font>
    <font>
      <b/>
      <i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i/>
      <sz val="11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002060"/>
      <name val="Arial"/>
      <family val="2"/>
    </font>
    <font>
      <b/>
      <sz val="8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rgb="FF002060"/>
      <name val="Arial Narrow"/>
      <family val="2"/>
    </font>
    <font>
      <b/>
      <sz val="10"/>
      <color theme="0"/>
      <name val="Arial Narrow"/>
      <family val="2"/>
    </font>
    <font>
      <b/>
      <i/>
      <sz val="11"/>
      <color theme="1"/>
      <name val="Arial Narrow"/>
      <family val="2"/>
    </font>
    <font>
      <b/>
      <i/>
      <sz val="11"/>
      <name val="Arial Narrow"/>
      <family val="2"/>
    </font>
    <font>
      <sz val="11"/>
      <name val="Arial Narrow"/>
      <family val="2"/>
    </font>
    <font>
      <b/>
      <sz val="9"/>
      <color rgb="FFFF0000"/>
      <name val="Arial"/>
      <family val="2"/>
    </font>
    <font>
      <b/>
      <sz val="12"/>
      <color theme="0"/>
      <name val="Arial"/>
      <family val="2"/>
    </font>
    <font>
      <i/>
      <sz val="10"/>
      <color rgb="FFFF000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ashed">
        <color auto="1"/>
      </bottom>
      <diagonal/>
    </border>
    <border>
      <left/>
      <right/>
      <top/>
      <bottom style="mediumDashed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 style="dotted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tted">
        <color auto="1"/>
      </bottom>
      <diagonal/>
    </border>
    <border>
      <left/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/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ouble">
        <color auto="1"/>
      </top>
      <bottom style="dotted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/>
      <top/>
      <bottom style="dott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double">
        <color auto="1"/>
      </left>
      <right style="double">
        <color auto="1"/>
      </right>
      <top/>
      <bottom style="dott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Dashed">
        <color auto="1"/>
      </left>
      <right style="mediumDashed">
        <color auto="1"/>
      </right>
      <top/>
      <bottom style="mediumDashed">
        <color auto="1"/>
      </bottom>
      <diagonal/>
    </border>
    <border>
      <left/>
      <right style="double">
        <color auto="1"/>
      </right>
      <top/>
      <bottom style="dotted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tted">
        <color auto="1"/>
      </top>
      <bottom/>
      <diagonal/>
    </border>
    <border>
      <left/>
      <right style="double">
        <color auto="1"/>
      </right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indexed="64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72">
    <xf numFmtId="166" fontId="0" fillId="0" borderId="0"/>
    <xf numFmtId="167" fontId="51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166" fontId="47" fillId="0" borderId="0" applyNumberFormat="0" applyFill="0" applyBorder="0" applyAlignment="0" applyProtection="0">
      <alignment vertical="top"/>
      <protection locked="0"/>
    </xf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41" fontId="5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51" fillId="0" borderId="0" applyFont="0" applyFill="0" applyBorder="0" applyAlignment="0" applyProtection="0"/>
    <xf numFmtId="0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51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6" borderId="66" applyNumberFormat="0" applyFont="0" applyAlignment="0" applyProtection="0"/>
    <xf numFmtId="0" fontId="3" fillId="16" borderId="66" applyNumberFormat="0" applyFont="0" applyAlignment="0" applyProtection="0"/>
    <xf numFmtId="0" fontId="3" fillId="16" borderId="66" applyNumberFormat="0" applyFont="0" applyAlignment="0" applyProtection="0"/>
    <xf numFmtId="0" fontId="3" fillId="16" borderId="66" applyNumberFormat="0" applyFont="0" applyAlignment="0" applyProtection="0"/>
    <xf numFmtId="166" fontId="58" fillId="0" borderId="0"/>
    <xf numFmtId="41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43" fontId="85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589">
    <xf numFmtId="166" fontId="0" fillId="0" borderId="0" xfId="0"/>
    <xf numFmtId="0" fontId="3" fillId="0" borderId="0" xfId="58" applyAlignment="1">
      <alignment horizontal="center" vertical="center"/>
    </xf>
    <xf numFmtId="0" fontId="4" fillId="0" borderId="0" xfId="58" applyFont="1"/>
    <xf numFmtId="0" fontId="3" fillId="0" borderId="0" xfId="58"/>
    <xf numFmtId="169" fontId="0" fillId="0" borderId="0" xfId="44" applyNumberFormat="1" applyFont="1"/>
    <xf numFmtId="0" fontId="3" fillId="0" borderId="0" xfId="58" applyAlignment="1">
      <alignment horizontal="center"/>
    </xf>
    <xf numFmtId="169" fontId="0" fillId="0" borderId="0" xfId="44" applyNumberFormat="1" applyFont="1" applyFill="1"/>
    <xf numFmtId="0" fontId="7" fillId="4" borderId="0" xfId="58" applyFont="1" applyFill="1"/>
    <xf numFmtId="169" fontId="0" fillId="0" borderId="0" xfId="44" applyNumberFormat="1" applyFont="1" applyAlignment="1">
      <alignment horizontal="center"/>
    </xf>
    <xf numFmtId="0" fontId="5" fillId="5" borderId="0" xfId="58" applyFont="1" applyFill="1"/>
    <xf numFmtId="169" fontId="5" fillId="5" borderId="0" xfId="44" applyNumberFormat="1" applyFont="1" applyFill="1"/>
    <xf numFmtId="0" fontId="5" fillId="5" borderId="0" xfId="58" applyFont="1" applyFill="1" applyAlignment="1">
      <alignment horizontal="center"/>
    </xf>
    <xf numFmtId="169" fontId="3" fillId="0" borderId="0" xfId="58" applyNumberFormat="1" applyAlignment="1">
      <alignment horizontal="center"/>
    </xf>
    <xf numFmtId="0" fontId="3" fillId="0" borderId="0" xfId="0" applyNumberFormat="1" applyFont="1"/>
    <xf numFmtId="169" fontId="3" fillId="0" borderId="0" xfId="1" applyNumberFormat="1" applyFont="1"/>
    <xf numFmtId="0" fontId="3" fillId="0" borderId="11" xfId="0" applyNumberFormat="1" applyFont="1" applyBorder="1"/>
    <xf numFmtId="169" fontId="3" fillId="0" borderId="11" xfId="1" applyNumberFormat="1" applyFont="1" applyBorder="1"/>
    <xf numFmtId="169" fontId="5" fillId="7" borderId="11" xfId="1" applyNumberFormat="1" applyFont="1" applyFill="1" applyBorder="1"/>
    <xf numFmtId="169" fontId="3" fillId="0" borderId="0" xfId="0" applyNumberFormat="1" applyFont="1"/>
    <xf numFmtId="0" fontId="5" fillId="0" borderId="0" xfId="0" applyNumberFormat="1" applyFont="1"/>
    <xf numFmtId="170" fontId="3" fillId="0" borderId="0" xfId="2" applyNumberFormat="1" applyFont="1" applyAlignment="1">
      <alignment vertical="center"/>
    </xf>
    <xf numFmtId="0" fontId="5" fillId="8" borderId="1" xfId="0" applyNumberFormat="1" applyFont="1" applyFill="1" applyBorder="1" applyAlignment="1">
      <alignment horizontal="left"/>
    </xf>
    <xf numFmtId="0" fontId="5" fillId="8" borderId="16" xfId="0" applyNumberFormat="1" applyFont="1" applyFill="1" applyBorder="1" applyAlignment="1">
      <alignment horizontal="center"/>
    </xf>
    <xf numFmtId="0" fontId="5" fillId="8" borderId="17" xfId="0" applyNumberFormat="1" applyFont="1" applyFill="1" applyBorder="1" applyAlignment="1">
      <alignment horizontal="center"/>
    </xf>
    <xf numFmtId="0" fontId="5" fillId="0" borderId="7" xfId="0" applyNumberFormat="1" applyFont="1" applyBorder="1"/>
    <xf numFmtId="0" fontId="5" fillId="0" borderId="10" xfId="0" applyNumberFormat="1" applyFont="1" applyBorder="1"/>
    <xf numFmtId="171" fontId="3" fillId="0" borderId="11" xfId="1" applyNumberFormat="1" applyFont="1" applyBorder="1"/>
    <xf numFmtId="171" fontId="3" fillId="0" borderId="12" xfId="1" applyNumberFormat="1" applyFont="1" applyBorder="1"/>
    <xf numFmtId="0" fontId="5" fillId="0" borderId="18" xfId="0" applyNumberFormat="1" applyFont="1" applyBorder="1"/>
    <xf numFmtId="171" fontId="3" fillId="0" borderId="19" xfId="1" applyNumberFormat="1" applyFont="1" applyBorder="1"/>
    <xf numFmtId="171" fontId="3" fillId="0" borderId="20" xfId="1" applyNumberFormat="1" applyFont="1" applyBorder="1"/>
    <xf numFmtId="171" fontId="5" fillId="9" borderId="0" xfId="1" applyNumberFormat="1" applyFont="1" applyFill="1" applyAlignment="1"/>
    <xf numFmtId="171" fontId="3" fillId="0" borderId="9" xfId="1" applyNumberFormat="1" applyFont="1" applyBorder="1"/>
    <xf numFmtId="170" fontId="3" fillId="0" borderId="0" xfId="2" applyNumberFormat="1" applyFont="1" applyBorder="1" applyAlignment="1"/>
    <xf numFmtId="170" fontId="3" fillId="0" borderId="0" xfId="0" applyNumberFormat="1" applyFont="1"/>
    <xf numFmtId="44" fontId="3" fillId="0" borderId="0" xfId="2" applyNumberFormat="1" applyFont="1" applyBorder="1" applyAlignment="1"/>
    <xf numFmtId="170" fontId="5" fillId="0" borderId="0" xfId="0" applyNumberFormat="1" applyFont="1"/>
    <xf numFmtId="0" fontId="5" fillId="8" borderId="21" xfId="0" applyNumberFormat="1" applyFont="1" applyFill="1" applyBorder="1"/>
    <xf numFmtId="171" fontId="3" fillId="0" borderId="11" xfId="1" applyNumberFormat="1" applyFont="1" applyBorder="1" applyAlignment="1">
      <alignment horizontal="left"/>
    </xf>
    <xf numFmtId="0" fontId="5" fillId="0" borderId="4" xfId="0" applyNumberFormat="1" applyFont="1" applyBorder="1" applyAlignment="1">
      <alignment horizontal="left" vertical="center"/>
    </xf>
    <xf numFmtId="171" fontId="5" fillId="0" borderId="9" xfId="1" applyNumberFormat="1" applyFont="1" applyBorder="1"/>
    <xf numFmtId="171" fontId="5" fillId="0" borderId="12" xfId="1" applyNumberFormat="1" applyFont="1" applyBorder="1"/>
    <xf numFmtId="0" fontId="5" fillId="0" borderId="22" xfId="0" applyNumberFormat="1" applyFont="1" applyBorder="1" applyAlignment="1">
      <alignment horizontal="left"/>
    </xf>
    <xf numFmtId="171" fontId="5" fillId="0" borderId="20" xfId="1" applyNumberFormat="1" applyFont="1" applyBorder="1"/>
    <xf numFmtId="0" fontId="5" fillId="8" borderId="11" xfId="0" applyNumberFormat="1" applyFont="1" applyFill="1" applyBorder="1" applyAlignment="1">
      <alignment horizontal="center"/>
    </xf>
    <xf numFmtId="15" fontId="3" fillId="0" borderId="11" xfId="0" applyNumberFormat="1" applyFont="1" applyBorder="1" applyAlignment="1">
      <alignment horizontal="left"/>
    </xf>
    <xf numFmtId="0" fontId="3" fillId="0" borderId="11" xfId="0" applyNumberFormat="1" applyFont="1" applyBorder="1" applyAlignment="1">
      <alignment horizontal="left"/>
    </xf>
    <xf numFmtId="171" fontId="3" fillId="4" borderId="11" xfId="1" applyNumberFormat="1" applyFont="1" applyFill="1" applyBorder="1" applyAlignment="1">
      <alignment horizontal="left"/>
    </xf>
    <xf numFmtId="171" fontId="5" fillId="0" borderId="11" xfId="1" applyNumberFormat="1" applyFont="1" applyFill="1" applyBorder="1" applyAlignment="1"/>
    <xf numFmtId="0" fontId="7" fillId="0" borderId="11" xfId="0" applyNumberFormat="1" applyFont="1" applyBorder="1" applyAlignment="1">
      <alignment horizontal="left"/>
    </xf>
    <xf numFmtId="3" fontId="7" fillId="0" borderId="11" xfId="0" applyNumberFormat="1" applyFont="1" applyBorder="1"/>
    <xf numFmtId="15" fontId="7" fillId="0" borderId="11" xfId="0" applyNumberFormat="1" applyFont="1" applyBorder="1" applyAlignment="1">
      <alignment horizontal="left"/>
    </xf>
    <xf numFmtId="15" fontId="9" fillId="0" borderId="11" xfId="0" applyNumberFormat="1" applyFont="1" applyBorder="1" applyAlignment="1">
      <alignment horizontal="left"/>
    </xf>
    <xf numFmtId="0" fontId="9" fillId="0" borderId="11" xfId="0" applyNumberFormat="1" applyFont="1" applyBorder="1" applyAlignment="1">
      <alignment horizontal="left"/>
    </xf>
    <xf numFmtId="3" fontId="9" fillId="0" borderId="11" xfId="0" applyNumberFormat="1" applyFont="1" applyBorder="1"/>
    <xf numFmtId="3" fontId="5" fillId="0" borderId="11" xfId="0" applyNumberFormat="1" applyFont="1" applyBorder="1" applyAlignment="1">
      <alignment horizontal="right"/>
    </xf>
    <xf numFmtId="0" fontId="10" fillId="0" borderId="11" xfId="0" applyNumberFormat="1" applyFont="1" applyBorder="1" applyAlignment="1">
      <alignment horizontal="right"/>
    </xf>
    <xf numFmtId="3" fontId="10" fillId="0" borderId="11" xfId="0" applyNumberFormat="1" applyFont="1" applyBorder="1" applyAlignment="1">
      <alignment horizontal="right"/>
    </xf>
    <xf numFmtId="170" fontId="3" fillId="0" borderId="11" xfId="2" applyNumberFormat="1" applyFont="1" applyBorder="1" applyAlignment="1">
      <alignment horizontal="left"/>
    </xf>
    <xf numFmtId="170" fontId="3" fillId="0" borderId="11" xfId="2" applyNumberFormat="1" applyFont="1" applyBorder="1" applyAlignment="1"/>
    <xf numFmtId="0" fontId="10" fillId="0" borderId="11" xfId="0" applyNumberFormat="1" applyFont="1" applyBorder="1"/>
    <xf numFmtId="170" fontId="10" fillId="0" borderId="11" xfId="0" applyNumberFormat="1" applyFont="1" applyBorder="1"/>
    <xf numFmtId="166" fontId="11" fillId="0" borderId="0" xfId="0" applyFont="1" applyAlignment="1">
      <alignment horizontal="center" vertical="center" wrapText="1"/>
    </xf>
    <xf numFmtId="166" fontId="12" fillId="0" borderId="0" xfId="0" applyFont="1"/>
    <xf numFmtId="166" fontId="11" fillId="0" borderId="0" xfId="0" applyFont="1"/>
    <xf numFmtId="171" fontId="11" fillId="0" borderId="0" xfId="1" applyNumberFormat="1" applyFont="1" applyFill="1" applyBorder="1"/>
    <xf numFmtId="166" fontId="13" fillId="0" borderId="0" xfId="0" applyFont="1" applyAlignment="1">
      <alignment horizontal="center"/>
    </xf>
    <xf numFmtId="171" fontId="14" fillId="0" borderId="0" xfId="1" applyNumberFormat="1" applyFont="1" applyFill="1" applyBorder="1" applyAlignment="1">
      <alignment horizontal="center" vertical="center" wrapText="1"/>
    </xf>
    <xf numFmtId="0" fontId="14" fillId="10" borderId="26" xfId="1" applyNumberFormat="1" applyFont="1" applyFill="1" applyBorder="1" applyAlignment="1">
      <alignment horizontal="center"/>
    </xf>
    <xf numFmtId="171" fontId="14" fillId="10" borderId="27" xfId="1" applyNumberFormat="1" applyFont="1" applyFill="1" applyBorder="1" applyAlignment="1">
      <alignment horizontal="center"/>
    </xf>
    <xf numFmtId="166" fontId="15" fillId="0" borderId="0" xfId="0" applyFont="1"/>
    <xf numFmtId="0" fontId="11" fillId="0" borderId="0" xfId="0" applyNumberFormat="1" applyFont="1"/>
    <xf numFmtId="171" fontId="11" fillId="0" borderId="28" xfId="1" applyNumberFormat="1" applyFont="1" applyFill="1" applyBorder="1"/>
    <xf numFmtId="172" fontId="11" fillId="0" borderId="0" xfId="0" applyNumberFormat="1" applyFont="1"/>
    <xf numFmtId="172" fontId="15" fillId="0" borderId="0" xfId="0" applyNumberFormat="1" applyFont="1"/>
    <xf numFmtId="171" fontId="15" fillId="11" borderId="28" xfId="1" applyNumberFormat="1" applyFont="1" applyFill="1" applyBorder="1"/>
    <xf numFmtId="171" fontId="11" fillId="0" borderId="29" xfId="1" applyNumberFormat="1" applyFont="1" applyFill="1" applyBorder="1"/>
    <xf numFmtId="171" fontId="11" fillId="0" borderId="30" xfId="1" applyNumberFormat="1" applyFont="1" applyFill="1" applyBorder="1"/>
    <xf numFmtId="171" fontId="15" fillId="11" borderId="29" xfId="1" applyNumberFormat="1" applyFont="1" applyFill="1" applyBorder="1"/>
    <xf numFmtId="166" fontId="17" fillId="0" borderId="0" xfId="0" applyFont="1"/>
    <xf numFmtId="171" fontId="14" fillId="12" borderId="28" xfId="1" applyNumberFormat="1" applyFont="1" applyFill="1" applyBorder="1"/>
    <xf numFmtId="166" fontId="15" fillId="0" borderId="0" xfId="0" applyFont="1" applyAlignment="1">
      <alignment horizontal="left" vertical="justify"/>
    </xf>
    <xf numFmtId="171" fontId="18" fillId="0" borderId="0" xfId="1" applyNumberFormat="1" applyFont="1" applyFill="1" applyBorder="1"/>
    <xf numFmtId="172" fontId="11" fillId="0" borderId="0" xfId="0" applyNumberFormat="1" applyFont="1" applyAlignment="1">
      <alignment horizontal="left" indent="1"/>
    </xf>
    <xf numFmtId="171" fontId="11" fillId="0" borderId="34" xfId="1" applyNumberFormat="1" applyFont="1" applyFill="1" applyBorder="1"/>
    <xf numFmtId="171" fontId="11" fillId="0" borderId="35" xfId="1" applyNumberFormat="1" applyFont="1" applyFill="1" applyBorder="1"/>
    <xf numFmtId="171" fontId="11" fillId="0" borderId="36" xfId="1" applyNumberFormat="1" applyFont="1" applyFill="1" applyBorder="1"/>
    <xf numFmtId="171" fontId="15" fillId="0" borderId="0" xfId="1" applyNumberFormat="1" applyFont="1" applyFill="1" applyBorder="1"/>
    <xf numFmtId="166" fontId="11" fillId="0" borderId="0" xfId="0" applyFont="1" applyAlignment="1">
      <alignment horizontal="left" vertical="justify"/>
    </xf>
    <xf numFmtId="172" fontId="11" fillId="0" borderId="36" xfId="0" applyNumberFormat="1" applyFont="1" applyBorder="1"/>
    <xf numFmtId="166" fontId="15" fillId="0" borderId="36" xfId="0" applyFont="1" applyBorder="1" applyAlignment="1">
      <alignment horizontal="left" vertical="justify"/>
    </xf>
    <xf numFmtId="166" fontId="11" fillId="0" borderId="36" xfId="0" applyFont="1" applyBorder="1" applyAlignment="1">
      <alignment horizontal="left" vertical="justify"/>
    </xf>
    <xf numFmtId="171" fontId="14" fillId="0" borderId="0" xfId="1" applyNumberFormat="1" applyFont="1" applyFill="1" applyBorder="1" applyAlignment="1">
      <alignment horizontal="center"/>
    </xf>
    <xf numFmtId="171" fontId="14" fillId="10" borderId="26" xfId="1" applyNumberFormat="1" applyFont="1" applyFill="1" applyBorder="1" applyAlignment="1">
      <alignment horizontal="center"/>
    </xf>
    <xf numFmtId="171" fontId="11" fillId="0" borderId="37" xfId="1" applyNumberFormat="1" applyFont="1" applyFill="1" applyBorder="1"/>
    <xf numFmtId="171" fontId="15" fillId="0" borderId="37" xfId="1" applyNumberFormat="1" applyFont="1" applyFill="1" applyBorder="1"/>
    <xf numFmtId="171" fontId="11" fillId="0" borderId="38" xfId="1" applyNumberFormat="1" applyFont="1" applyFill="1" applyBorder="1"/>
    <xf numFmtId="171" fontId="14" fillId="0" borderId="36" xfId="1" applyNumberFormat="1" applyFont="1" applyFill="1" applyBorder="1"/>
    <xf numFmtId="171" fontId="15" fillId="0" borderId="36" xfId="1" applyNumberFormat="1" applyFont="1" applyFill="1" applyBorder="1"/>
    <xf numFmtId="171" fontId="14" fillId="10" borderId="39" xfId="1" applyNumberFormat="1" applyFont="1" applyFill="1" applyBorder="1" applyAlignment="1">
      <alignment horizontal="center"/>
    </xf>
    <xf numFmtId="171" fontId="11" fillId="0" borderId="33" xfId="1" applyNumberFormat="1" applyFont="1" applyFill="1" applyBorder="1"/>
    <xf numFmtId="171" fontId="15" fillId="11" borderId="40" xfId="1" applyNumberFormat="1" applyFont="1" applyFill="1" applyBorder="1"/>
    <xf numFmtId="171" fontId="11" fillId="0" borderId="40" xfId="1" applyNumberFormat="1" applyFont="1" applyFill="1" applyBorder="1"/>
    <xf numFmtId="171" fontId="14" fillId="10" borderId="41" xfId="1" applyNumberFormat="1" applyFont="1" applyFill="1" applyBorder="1" applyAlignment="1">
      <alignment horizontal="center"/>
    </xf>
    <xf numFmtId="171" fontId="14" fillId="12" borderId="29" xfId="1" applyNumberFormat="1" applyFont="1" applyFill="1" applyBorder="1"/>
    <xf numFmtId="171" fontId="14" fillId="0" borderId="37" xfId="1" applyNumberFormat="1" applyFont="1" applyFill="1" applyBorder="1"/>
    <xf numFmtId="171" fontId="16" fillId="0" borderId="29" xfId="1" applyNumberFormat="1" applyFont="1" applyFill="1" applyBorder="1"/>
    <xf numFmtId="171" fontId="15" fillId="0" borderId="42" xfId="1" applyNumberFormat="1" applyFont="1" applyFill="1" applyBorder="1"/>
    <xf numFmtId="171" fontId="11" fillId="0" borderId="43" xfId="1" applyNumberFormat="1" applyFont="1" applyFill="1" applyBorder="1"/>
    <xf numFmtId="171" fontId="11" fillId="0" borderId="44" xfId="1" applyNumberFormat="1" applyFont="1" applyFill="1" applyBorder="1"/>
    <xf numFmtId="171" fontId="11" fillId="0" borderId="45" xfId="1" applyNumberFormat="1" applyFont="1" applyFill="1" applyBorder="1"/>
    <xf numFmtId="171" fontId="11" fillId="11" borderId="29" xfId="1" applyNumberFormat="1" applyFont="1" applyFill="1" applyBorder="1"/>
    <xf numFmtId="171" fontId="11" fillId="11" borderId="35" xfId="1" applyNumberFormat="1" applyFont="1" applyFill="1" applyBorder="1"/>
    <xf numFmtId="166" fontId="11" fillId="0" borderId="36" xfId="0" applyFont="1" applyBorder="1"/>
    <xf numFmtId="171" fontId="15" fillId="11" borderId="33" xfId="1" applyNumberFormat="1" applyFont="1" applyFill="1" applyBorder="1"/>
    <xf numFmtId="171" fontId="11" fillId="0" borderId="46" xfId="1" applyNumberFormat="1" applyFont="1" applyFill="1" applyBorder="1"/>
    <xf numFmtId="171" fontId="16" fillId="0" borderId="28" xfId="1" applyNumberFormat="1" applyFont="1" applyFill="1" applyBorder="1"/>
    <xf numFmtId="171" fontId="11" fillId="0" borderId="47" xfId="1" applyNumberFormat="1" applyFont="1" applyFill="1" applyBorder="1"/>
    <xf numFmtId="171" fontId="11" fillId="0" borderId="0" xfId="1" applyNumberFormat="1" applyFont="1"/>
    <xf numFmtId="167" fontId="15" fillId="0" borderId="0" xfId="1" applyFont="1" applyFill="1" applyBorder="1"/>
    <xf numFmtId="166" fontId="19" fillId="4" borderId="48" xfId="0" applyFont="1" applyFill="1" applyBorder="1"/>
    <xf numFmtId="171" fontId="20" fillId="12" borderId="29" xfId="1" applyNumberFormat="1" applyFont="1" applyFill="1" applyBorder="1"/>
    <xf numFmtId="166" fontId="21" fillId="0" borderId="0" xfId="0" applyFont="1"/>
    <xf numFmtId="171" fontId="12" fillId="0" borderId="0" xfId="1" applyNumberFormat="1" applyFont="1" applyFill="1" applyBorder="1"/>
    <xf numFmtId="167" fontId="11" fillId="0" borderId="36" xfId="1" applyFont="1" applyFill="1" applyBorder="1"/>
    <xf numFmtId="171" fontId="11" fillId="0" borderId="42" xfId="1" applyNumberFormat="1" applyFont="1" applyFill="1" applyBorder="1"/>
    <xf numFmtId="166" fontId="19" fillId="0" borderId="0" xfId="0" applyFont="1"/>
    <xf numFmtId="166" fontId="15" fillId="0" borderId="36" xfId="0" applyFont="1" applyBorder="1"/>
    <xf numFmtId="166" fontId="19" fillId="0" borderId="36" xfId="0" applyFont="1" applyBorder="1"/>
    <xf numFmtId="171" fontId="20" fillId="0" borderId="0" xfId="1" applyNumberFormat="1" applyFont="1" applyFill="1" applyBorder="1"/>
    <xf numFmtId="171" fontId="20" fillId="12" borderId="28" xfId="1" applyNumberFormat="1" applyFont="1" applyFill="1" applyBorder="1"/>
    <xf numFmtId="14" fontId="11" fillId="0" borderId="0" xfId="0" applyNumberFormat="1" applyFont="1"/>
    <xf numFmtId="41" fontId="15" fillId="0" borderId="0" xfId="3" applyFont="1" applyFill="1" applyBorder="1"/>
    <xf numFmtId="41" fontId="11" fillId="0" borderId="0" xfId="3" applyFont="1" applyFill="1" applyBorder="1"/>
    <xf numFmtId="166" fontId="22" fillId="0" borderId="0" xfId="0" applyFont="1"/>
    <xf numFmtId="41" fontId="25" fillId="4" borderId="0" xfId="3" applyFont="1" applyFill="1" applyBorder="1"/>
    <xf numFmtId="171" fontId="22" fillId="0" borderId="0" xfId="1" applyNumberFormat="1" applyFont="1" applyFill="1" applyBorder="1"/>
    <xf numFmtId="0" fontId="14" fillId="10" borderId="0" xfId="1" applyNumberFormat="1" applyFont="1" applyFill="1" applyBorder="1" applyAlignment="1">
      <alignment horizontal="center"/>
    </xf>
    <xf numFmtId="171" fontId="14" fillId="10" borderId="0" xfId="1" applyNumberFormat="1" applyFont="1" applyFill="1" applyBorder="1" applyAlignment="1">
      <alignment horizontal="center"/>
    </xf>
    <xf numFmtId="166" fontId="17" fillId="0" borderId="0" xfId="0" applyFont="1" applyAlignment="1">
      <alignment horizontal="center"/>
    </xf>
    <xf numFmtId="166" fontId="18" fillId="0" borderId="0" xfId="0" applyFont="1"/>
    <xf numFmtId="171" fontId="22" fillId="0" borderId="33" xfId="1" applyNumberFormat="1" applyFont="1" applyFill="1" applyBorder="1"/>
    <xf numFmtId="166" fontId="11" fillId="0" borderId="0" xfId="0" applyFont="1" applyAlignment="1">
      <alignment horizontal="left" indent="1"/>
    </xf>
    <xf numFmtId="171" fontId="23" fillId="0" borderId="33" xfId="1" applyNumberFormat="1" applyFont="1" applyFill="1" applyBorder="1"/>
    <xf numFmtId="171" fontId="11" fillId="0" borderId="49" xfId="1" applyNumberFormat="1" applyFont="1" applyFill="1" applyBorder="1"/>
    <xf numFmtId="171" fontId="23" fillId="0" borderId="0" xfId="1" applyNumberFormat="1" applyFont="1" applyFill="1" applyBorder="1"/>
    <xf numFmtId="171" fontId="22" fillId="0" borderId="50" xfId="1" applyNumberFormat="1" applyFont="1" applyFill="1" applyBorder="1"/>
    <xf numFmtId="166" fontId="11" fillId="0" borderId="0" xfId="0" applyFont="1" applyAlignment="1">
      <alignment horizontal="justify" vertical="justify"/>
    </xf>
    <xf numFmtId="171" fontId="22" fillId="0" borderId="31" xfId="1" applyNumberFormat="1" applyFont="1" applyFill="1" applyBorder="1"/>
    <xf numFmtId="171" fontId="11" fillId="0" borderId="51" xfId="1" applyNumberFormat="1" applyFont="1" applyFill="1" applyBorder="1"/>
    <xf numFmtId="166" fontId="11" fillId="0" borderId="0" xfId="0" applyFont="1" applyAlignment="1">
      <alignment vertical="center"/>
    </xf>
    <xf numFmtId="171" fontId="11" fillId="0" borderId="54" xfId="1" applyNumberFormat="1" applyFont="1" applyFill="1" applyBorder="1"/>
    <xf numFmtId="171" fontId="11" fillId="0" borderId="48" xfId="1" applyNumberFormat="1" applyFont="1" applyFill="1" applyBorder="1"/>
    <xf numFmtId="171" fontId="14" fillId="10" borderId="55" xfId="1" applyNumberFormat="1" applyFont="1" applyFill="1" applyBorder="1" applyAlignment="1">
      <alignment horizontal="center"/>
    </xf>
    <xf numFmtId="41" fontId="11" fillId="0" borderId="37" xfId="1" applyNumberFormat="1" applyFont="1" applyFill="1" applyBorder="1"/>
    <xf numFmtId="171" fontId="11" fillId="0" borderId="48" xfId="1" applyNumberFormat="1" applyFont="1" applyFill="1" applyBorder="1" applyAlignment="1">
      <alignment vertical="center"/>
    </xf>
    <xf numFmtId="37" fontId="11" fillId="0" borderId="37" xfId="1" applyNumberFormat="1" applyFont="1" applyFill="1" applyBorder="1"/>
    <xf numFmtId="171" fontId="11" fillId="0" borderId="56" xfId="1" applyNumberFormat="1" applyFont="1" applyFill="1" applyBorder="1"/>
    <xf numFmtId="171" fontId="11" fillId="0" borderId="53" xfId="1" applyNumberFormat="1" applyFont="1" applyFill="1" applyBorder="1"/>
    <xf numFmtId="171" fontId="22" fillId="0" borderId="57" xfId="1" applyNumberFormat="1" applyFont="1" applyFill="1" applyBorder="1"/>
    <xf numFmtId="171" fontId="22" fillId="0" borderId="58" xfId="1" applyNumberFormat="1" applyFont="1" applyFill="1" applyBorder="1"/>
    <xf numFmtId="171" fontId="11" fillId="0" borderId="37" xfId="1" applyNumberFormat="1" applyFont="1" applyFill="1" applyBorder="1" applyAlignment="1">
      <alignment vertical="center"/>
    </xf>
    <xf numFmtId="171" fontId="15" fillId="11" borderId="28" xfId="1" applyNumberFormat="1" applyFont="1" applyFill="1" applyBorder="1" applyAlignment="1">
      <alignment vertical="center"/>
    </xf>
    <xf numFmtId="171" fontId="14" fillId="10" borderId="61" xfId="1" applyNumberFormat="1" applyFont="1" applyFill="1" applyBorder="1" applyAlignment="1">
      <alignment horizontal="center"/>
    </xf>
    <xf numFmtId="171" fontId="11" fillId="0" borderId="0" xfId="1" applyNumberFormat="1" applyFont="1" applyFill="1" applyBorder="1" applyAlignment="1">
      <alignment vertical="center"/>
    </xf>
    <xf numFmtId="37" fontId="11" fillId="0" borderId="0" xfId="1" applyNumberFormat="1" applyFont="1" applyFill="1" applyBorder="1"/>
    <xf numFmtId="171" fontId="22" fillId="0" borderId="42" xfId="1" applyNumberFormat="1" applyFont="1" applyFill="1" applyBorder="1"/>
    <xf numFmtId="166" fontId="18" fillId="0" borderId="0" xfId="0" applyFont="1" applyAlignment="1">
      <alignment vertical="center"/>
    </xf>
    <xf numFmtId="171" fontId="15" fillId="11" borderId="40" xfId="1" applyNumberFormat="1" applyFont="1" applyFill="1" applyBorder="1" applyAlignment="1">
      <alignment vertical="center"/>
    </xf>
    <xf numFmtId="171" fontId="0" fillId="0" borderId="0" xfId="1" applyNumberFormat="1" applyFont="1" applyFill="1"/>
    <xf numFmtId="173" fontId="11" fillId="0" borderId="0" xfId="0" applyNumberFormat="1" applyFont="1"/>
    <xf numFmtId="166" fontId="18" fillId="0" borderId="0" xfId="0" applyFont="1" applyAlignment="1">
      <alignment horizontal="left" indent="1"/>
    </xf>
    <xf numFmtId="166" fontId="11" fillId="0" borderId="0" xfId="49" applyFont="1"/>
    <xf numFmtId="171" fontId="11" fillId="0" borderId="59" xfId="1" applyNumberFormat="1" applyFont="1" applyFill="1" applyBorder="1"/>
    <xf numFmtId="174" fontId="11" fillId="0" borderId="54" xfId="1" applyNumberFormat="1" applyFont="1" applyFill="1" applyBorder="1"/>
    <xf numFmtId="171" fontId="15" fillId="0" borderId="37" xfId="1" applyNumberFormat="1" applyFont="1" applyFill="1" applyBorder="1" applyAlignment="1">
      <alignment vertical="center"/>
    </xf>
    <xf numFmtId="171" fontId="0" fillId="0" borderId="0" xfId="1" applyNumberFormat="1" applyFont="1" applyFill="1" applyBorder="1"/>
    <xf numFmtId="174" fontId="11" fillId="0" borderId="37" xfId="1" applyNumberFormat="1" applyFont="1" applyFill="1" applyBorder="1"/>
    <xf numFmtId="171" fontId="11" fillId="0" borderId="62" xfId="1" applyNumberFormat="1" applyFont="1" applyFill="1" applyBorder="1"/>
    <xf numFmtId="174" fontId="11" fillId="0" borderId="46" xfId="1" applyNumberFormat="1" applyFont="1" applyFill="1" applyBorder="1"/>
    <xf numFmtId="174" fontId="11" fillId="0" borderId="62" xfId="1" applyNumberFormat="1" applyFont="1" applyFill="1" applyBorder="1"/>
    <xf numFmtId="174" fontId="11" fillId="0" borderId="56" xfId="1" applyNumberFormat="1" applyFont="1" applyFill="1" applyBorder="1"/>
    <xf numFmtId="171" fontId="15" fillId="0" borderId="56" xfId="1" applyNumberFormat="1" applyFont="1" applyFill="1" applyBorder="1"/>
    <xf numFmtId="171" fontId="15" fillId="0" borderId="0" xfId="1" applyNumberFormat="1" applyFont="1" applyFill="1" applyBorder="1" applyAlignment="1">
      <alignment vertical="center"/>
    </xf>
    <xf numFmtId="171" fontId="6" fillId="0" borderId="0" xfId="1" applyNumberFormat="1" applyFont="1" applyFill="1" applyBorder="1"/>
    <xf numFmtId="171" fontId="6" fillId="0" borderId="31" xfId="1" applyNumberFormat="1" applyFont="1" applyFill="1" applyBorder="1"/>
    <xf numFmtId="171" fontId="24" fillId="0" borderId="0" xfId="1" applyNumberFormat="1" applyFont="1" applyFill="1" applyBorder="1"/>
    <xf numFmtId="41" fontId="27" fillId="4" borderId="0" xfId="3" applyFont="1" applyFill="1" applyBorder="1"/>
    <xf numFmtId="171" fontId="22" fillId="0" borderId="36" xfId="1" applyNumberFormat="1" applyFont="1" applyFill="1" applyBorder="1"/>
    <xf numFmtId="41" fontId="25" fillId="0" borderId="0" xfId="3" applyFont="1" applyFill="1" applyBorder="1"/>
    <xf numFmtId="171" fontId="11" fillId="0" borderId="63" xfId="1" applyNumberFormat="1" applyFont="1" applyFill="1" applyBorder="1"/>
    <xf numFmtId="171" fontId="26" fillId="0" borderId="0" xfId="1" applyNumberFormat="1" applyFont="1" applyFill="1" applyBorder="1"/>
    <xf numFmtId="166" fontId="28" fillId="0" borderId="0" xfId="0" applyFont="1"/>
    <xf numFmtId="166" fontId="29" fillId="0" borderId="0" xfId="0" applyFont="1"/>
    <xf numFmtId="166" fontId="30" fillId="0" borderId="0" xfId="0" applyFont="1"/>
    <xf numFmtId="171" fontId="30" fillId="0" borderId="0" xfId="1" applyNumberFormat="1" applyFont="1" applyFill="1" applyBorder="1"/>
    <xf numFmtId="171" fontId="30" fillId="0" borderId="0" xfId="1" applyNumberFormat="1" applyFont="1"/>
    <xf numFmtId="171" fontId="30" fillId="0" borderId="0" xfId="1" applyNumberFormat="1" applyFont="1" applyFill="1"/>
    <xf numFmtId="171" fontId="30" fillId="0" borderId="0" xfId="1" applyNumberFormat="1" applyFont="1" applyAlignment="1"/>
    <xf numFmtId="166" fontId="31" fillId="0" borderId="0" xfId="0" applyFont="1"/>
    <xf numFmtId="166" fontId="26" fillId="0" borderId="0" xfId="0" applyFont="1" applyAlignment="1">
      <alignment horizontal="center"/>
    </xf>
    <xf numFmtId="171" fontId="30" fillId="0" borderId="0" xfId="1" applyNumberFormat="1" applyFont="1" applyBorder="1"/>
    <xf numFmtId="166" fontId="32" fillId="12" borderId="0" xfId="0" applyFont="1" applyFill="1"/>
    <xf numFmtId="171" fontId="20" fillId="0" borderId="0" xfId="1" applyNumberFormat="1" applyFont="1" applyFill="1" applyBorder="1" applyAlignment="1">
      <alignment horizontal="center" vertical="top" wrapText="1"/>
    </xf>
    <xf numFmtId="171" fontId="32" fillId="12" borderId="0" xfId="1" applyNumberFormat="1" applyFont="1" applyFill="1" applyBorder="1" applyAlignment="1">
      <alignment horizontal="center" wrapText="1"/>
    </xf>
    <xf numFmtId="171" fontId="20" fillId="0" borderId="0" xfId="1" applyNumberFormat="1" applyFont="1" applyFill="1" applyBorder="1" applyAlignment="1">
      <alignment horizontal="center"/>
    </xf>
    <xf numFmtId="1" fontId="33" fillId="0" borderId="0" xfId="4" applyNumberFormat="1" applyFont="1" applyFill="1" applyAlignment="1" applyProtection="1">
      <alignment horizontal="center"/>
    </xf>
    <xf numFmtId="171" fontId="28" fillId="0" borderId="0" xfId="1" applyNumberFormat="1" applyFont="1" applyFill="1" applyBorder="1"/>
    <xf numFmtId="1" fontId="33" fillId="4" borderId="0" xfId="4" applyNumberFormat="1" applyFont="1" applyFill="1" applyAlignment="1" applyProtection="1">
      <alignment horizontal="center"/>
    </xf>
    <xf numFmtId="171" fontId="28" fillId="0" borderId="0" xfId="1" applyNumberFormat="1" applyFont="1" applyBorder="1"/>
    <xf numFmtId="171" fontId="0" fillId="0" borderId="0" xfId="1" applyNumberFormat="1" applyFont="1" applyBorder="1"/>
    <xf numFmtId="167" fontId="28" fillId="0" borderId="0" xfId="1" applyFont="1" applyBorder="1"/>
    <xf numFmtId="166" fontId="30" fillId="11" borderId="0" xfId="0" applyFont="1" applyFill="1"/>
    <xf numFmtId="167" fontId="30" fillId="11" borderId="0" xfId="1" applyFont="1" applyFill="1" applyBorder="1"/>
    <xf numFmtId="171" fontId="30" fillId="11" borderId="0" xfId="1" applyNumberFormat="1" applyFont="1" applyFill="1" applyBorder="1"/>
    <xf numFmtId="166" fontId="30" fillId="13" borderId="0" xfId="0" applyFont="1" applyFill="1"/>
    <xf numFmtId="167" fontId="30" fillId="13" borderId="0" xfId="1" applyFont="1" applyFill="1" applyBorder="1"/>
    <xf numFmtId="171" fontId="30" fillId="13" borderId="0" xfId="1" applyNumberFormat="1" applyFont="1" applyFill="1" applyBorder="1"/>
    <xf numFmtId="166" fontId="34" fillId="0" borderId="0" xfId="4" applyFont="1" applyBorder="1" applyAlignment="1" applyProtection="1"/>
    <xf numFmtId="4" fontId="0" fillId="0" borderId="0" xfId="0" applyNumberFormat="1"/>
    <xf numFmtId="171" fontId="0" fillId="0" borderId="0" xfId="1" applyNumberFormat="1" applyFont="1"/>
    <xf numFmtId="167" fontId="30" fillId="0" borderId="0" xfId="1" applyFont="1" applyFill="1" applyBorder="1"/>
    <xf numFmtId="171" fontId="32" fillId="12" borderId="0" xfId="1" applyNumberFormat="1" applyFont="1" applyFill="1" applyBorder="1" applyAlignment="1">
      <alignment horizontal="center" vertical="center" wrapText="1"/>
    </xf>
    <xf numFmtId="171" fontId="32" fillId="0" borderId="0" xfId="1" applyNumberFormat="1" applyFont="1" applyFill="1" applyBorder="1" applyAlignment="1">
      <alignment horizontal="center" wrapText="1"/>
    </xf>
    <xf numFmtId="166" fontId="26" fillId="0" borderId="0" xfId="0" applyFont="1"/>
    <xf numFmtId="171" fontId="20" fillId="12" borderId="0" xfId="1" applyNumberFormat="1" applyFont="1" applyFill="1" applyBorder="1" applyAlignment="1">
      <alignment horizontal="center" vertical="top" wrapText="1"/>
    </xf>
    <xf numFmtId="171" fontId="20" fillId="12" borderId="0" xfId="1" applyNumberFormat="1" applyFont="1" applyFill="1" applyBorder="1" applyAlignment="1">
      <alignment horizontal="center"/>
    </xf>
    <xf numFmtId="167" fontId="35" fillId="0" borderId="0" xfId="1" applyFont="1" applyBorder="1"/>
    <xf numFmtId="171" fontId="35" fillId="0" borderId="0" xfId="1" applyNumberFormat="1" applyFont="1" applyFill="1" applyBorder="1"/>
    <xf numFmtId="171" fontId="35" fillId="0" borderId="0" xfId="1" applyNumberFormat="1" applyFont="1" applyBorder="1"/>
    <xf numFmtId="166" fontId="30" fillId="0" borderId="0" xfId="0" applyFont="1" applyAlignment="1">
      <alignment horizontal="center"/>
    </xf>
    <xf numFmtId="167" fontId="30" fillId="0" borderId="0" xfId="1" applyFont="1" applyBorder="1"/>
    <xf numFmtId="167" fontId="28" fillId="0" borderId="0" xfId="1" applyFont="1"/>
    <xf numFmtId="171" fontId="28" fillId="0" borderId="0" xfId="1" applyNumberFormat="1" applyFont="1"/>
    <xf numFmtId="167" fontId="30" fillId="0" borderId="0" xfId="1" applyFont="1"/>
    <xf numFmtId="171" fontId="28" fillId="0" borderId="0" xfId="1" applyNumberFormat="1" applyFont="1" applyFill="1"/>
    <xf numFmtId="166" fontId="36" fillId="0" borderId="0" xfId="0" applyFont="1"/>
    <xf numFmtId="171" fontId="36" fillId="0" borderId="0" xfId="1" applyNumberFormat="1" applyFont="1" applyFill="1"/>
    <xf numFmtId="166" fontId="37" fillId="0" borderId="0" xfId="0" applyFont="1"/>
    <xf numFmtId="41" fontId="6" fillId="0" borderId="0" xfId="3" applyFont="1" applyFill="1" applyBorder="1" applyAlignment="1">
      <alignment horizontal="center"/>
    </xf>
    <xf numFmtId="166" fontId="6" fillId="0" borderId="0" xfId="0" applyFont="1" applyAlignment="1">
      <alignment horizontal="center"/>
    </xf>
    <xf numFmtId="171" fontId="6" fillId="0" borderId="0" xfId="1" applyNumberFormat="1" applyFont="1" applyAlignment="1">
      <alignment horizontal="center"/>
    </xf>
    <xf numFmtId="171" fontId="6" fillId="0" borderId="0" xfId="1" applyNumberFormat="1" applyFont="1" applyFill="1" applyAlignment="1">
      <alignment horizontal="center"/>
    </xf>
    <xf numFmtId="171" fontId="6" fillId="0" borderId="0" xfId="1" applyNumberFormat="1" applyFont="1" applyBorder="1" applyAlignment="1"/>
    <xf numFmtId="171" fontId="6" fillId="0" borderId="0" xfId="1" applyNumberFormat="1" applyFont="1" applyBorder="1" applyAlignment="1">
      <alignment horizontal="center"/>
    </xf>
    <xf numFmtId="166" fontId="32" fillId="10" borderId="0" xfId="0" applyFont="1" applyFill="1" applyAlignment="1">
      <alignment horizontal="center"/>
    </xf>
    <xf numFmtId="166" fontId="38" fillId="0" borderId="0" xfId="49" applyFont="1" applyAlignment="1">
      <alignment horizontal="center"/>
    </xf>
    <xf numFmtId="166" fontId="38" fillId="10" borderId="0" xfId="49" applyFont="1" applyFill="1" applyAlignment="1">
      <alignment horizontal="center"/>
    </xf>
    <xf numFmtId="41" fontId="0" fillId="0" borderId="0" xfId="3" applyFont="1" applyFill="1" applyBorder="1"/>
    <xf numFmtId="171" fontId="0" fillId="0" borderId="0" xfId="0" applyNumberFormat="1"/>
    <xf numFmtId="1" fontId="33" fillId="4" borderId="0" xfId="4" applyNumberFormat="1" applyFont="1" applyFill="1" applyBorder="1" applyAlignment="1" applyProtection="1">
      <alignment horizontal="center"/>
    </xf>
    <xf numFmtId="1" fontId="33" fillId="0" borderId="0" xfId="4" applyNumberFormat="1" applyFont="1" applyFill="1" applyBorder="1" applyAlignment="1" applyProtection="1">
      <alignment horizontal="center"/>
    </xf>
    <xf numFmtId="171" fontId="0" fillId="0" borderId="64" xfId="0" applyNumberFormat="1" applyBorder="1"/>
    <xf numFmtId="166" fontId="30" fillId="0" borderId="0" xfId="0" applyFont="1" applyAlignment="1">
      <alignment horizontal="left"/>
    </xf>
    <xf numFmtId="41" fontId="6" fillId="0" borderId="0" xfId="3" applyFont="1" applyFill="1" applyBorder="1"/>
    <xf numFmtId="171" fontId="6" fillId="0" borderId="15" xfId="3" applyNumberFormat="1" applyFont="1" applyFill="1" applyBorder="1"/>
    <xf numFmtId="171" fontId="0" fillId="0" borderId="65" xfId="0" applyNumberFormat="1" applyBorder="1"/>
    <xf numFmtId="171" fontId="6" fillId="0" borderId="64" xfId="3" applyNumberFormat="1" applyFont="1" applyBorder="1"/>
    <xf numFmtId="41" fontId="28" fillId="0" borderId="0" xfId="3" applyFont="1" applyFill="1" applyBorder="1"/>
    <xf numFmtId="171" fontId="28" fillId="0" borderId="15" xfId="1" applyNumberFormat="1" applyFont="1" applyBorder="1"/>
    <xf numFmtId="166" fontId="26" fillId="14" borderId="0" xfId="0" applyFont="1" applyFill="1"/>
    <xf numFmtId="41" fontId="26" fillId="0" borderId="0" xfId="3" applyFont="1" applyFill="1" applyBorder="1"/>
    <xf numFmtId="166" fontId="26" fillId="14" borderId="0" xfId="0" applyFont="1" applyFill="1" applyAlignment="1">
      <alignment horizontal="center"/>
    </xf>
    <xf numFmtId="41" fontId="26" fillId="14" borderId="32" xfId="3" applyFont="1" applyFill="1" applyBorder="1"/>
    <xf numFmtId="166" fontId="30" fillId="10" borderId="0" xfId="0" applyFont="1" applyFill="1" applyAlignment="1">
      <alignment horizontal="center"/>
    </xf>
    <xf numFmtId="171" fontId="28" fillId="10" borderId="0" xfId="1" applyNumberFormat="1" applyFont="1" applyFill="1" applyBorder="1"/>
    <xf numFmtId="171" fontId="6" fillId="0" borderId="15" xfId="0" applyNumberFormat="1" applyFont="1" applyBorder="1"/>
    <xf numFmtId="41" fontId="26" fillId="14" borderId="15" xfId="3" applyFont="1" applyFill="1" applyBorder="1"/>
    <xf numFmtId="171" fontId="26" fillId="14" borderId="15" xfId="1" applyNumberFormat="1" applyFont="1" applyFill="1" applyBorder="1"/>
    <xf numFmtId="171" fontId="26" fillId="14" borderId="32" xfId="1" applyNumberFormat="1" applyFont="1" applyFill="1" applyBorder="1"/>
    <xf numFmtId="166" fontId="39" fillId="0" borderId="0" xfId="0" applyFont="1"/>
    <xf numFmtId="41" fontId="39" fillId="0" borderId="0" xfId="3" applyFont="1" applyFill="1" applyBorder="1"/>
    <xf numFmtId="166" fontId="39" fillId="0" borderId="0" xfId="0" applyFont="1" applyAlignment="1">
      <alignment horizontal="center"/>
    </xf>
    <xf numFmtId="171" fontId="39" fillId="0" borderId="0" xfId="1" applyNumberFormat="1" applyFont="1" applyFill="1" applyBorder="1"/>
    <xf numFmtId="171" fontId="36" fillId="0" borderId="0" xfId="1" applyNumberFormat="1" applyFont="1" applyFill="1" applyBorder="1"/>
    <xf numFmtId="171" fontId="29" fillId="0" borderId="0" xfId="1" applyNumberFormat="1" applyFont="1" applyFill="1" applyBorder="1"/>
    <xf numFmtId="171" fontId="29" fillId="0" borderId="0" xfId="1" applyNumberFormat="1" applyFont="1" applyFill="1" applyBorder="1" applyAlignment="1">
      <alignment horizontal="center"/>
    </xf>
    <xf numFmtId="166" fontId="40" fillId="15" borderId="0" xfId="0" applyFont="1" applyFill="1" applyAlignment="1">
      <alignment horizontal="left"/>
    </xf>
    <xf numFmtId="41" fontId="29" fillId="0" borderId="0" xfId="3" applyFont="1" applyFill="1" applyBorder="1"/>
    <xf numFmtId="167" fontId="29" fillId="0" borderId="0" xfId="1" applyFont="1" applyBorder="1" applyAlignment="1">
      <alignment horizontal="center"/>
    </xf>
    <xf numFmtId="167" fontId="29" fillId="0" borderId="0" xfId="1" applyFont="1" applyFill="1" applyBorder="1" applyAlignment="1">
      <alignment horizontal="center"/>
    </xf>
    <xf numFmtId="171" fontId="36" fillId="0" borderId="0" xfId="1" applyNumberFormat="1" applyFont="1" applyBorder="1" applyAlignment="1">
      <alignment horizontal="center"/>
    </xf>
    <xf numFmtId="166" fontId="41" fillId="15" borderId="0" xfId="0" applyFont="1" applyFill="1" applyAlignment="1">
      <alignment horizontal="left"/>
    </xf>
    <xf numFmtId="41" fontId="36" fillId="0" borderId="0" xfId="3" applyFont="1" applyFill="1" applyBorder="1" applyAlignment="1"/>
    <xf numFmtId="166" fontId="29" fillId="0" borderId="0" xfId="0" applyFont="1" applyAlignment="1">
      <alignment horizontal="center"/>
    </xf>
    <xf numFmtId="41" fontId="37" fillId="0" borderId="0" xfId="3" applyFont="1" applyFill="1" applyBorder="1" applyAlignment="1"/>
    <xf numFmtId="41" fontId="37" fillId="0" borderId="0" xfId="3" applyFont="1" applyFill="1" applyBorder="1"/>
    <xf numFmtId="41" fontId="36" fillId="0" borderId="0" xfId="3" applyFont="1" applyFill="1" applyBorder="1" applyAlignment="1">
      <alignment horizontal="center"/>
    </xf>
    <xf numFmtId="166" fontId="36" fillId="0" borderId="0" xfId="0" applyFont="1" applyAlignment="1">
      <alignment horizontal="center"/>
    </xf>
    <xf numFmtId="171" fontId="36" fillId="0" borderId="0" xfId="1" applyNumberFormat="1" applyFont="1" applyAlignment="1">
      <alignment horizontal="center"/>
    </xf>
    <xf numFmtId="166" fontId="42" fillId="15" borderId="0" xfId="0" applyFont="1" applyFill="1" applyAlignment="1">
      <alignment horizontal="left"/>
    </xf>
    <xf numFmtId="169" fontId="42" fillId="0" borderId="0" xfId="0" applyNumberFormat="1" applyFont="1" applyAlignment="1">
      <alignment horizontal="left"/>
    </xf>
    <xf numFmtId="166" fontId="43" fillId="0" borderId="0" xfId="0" applyFont="1"/>
    <xf numFmtId="166" fontId="44" fillId="15" borderId="0" xfId="0" applyFont="1" applyFill="1" applyAlignment="1">
      <alignment horizontal="left"/>
    </xf>
    <xf numFmtId="169" fontId="44" fillId="0" borderId="0" xfId="0" applyNumberFormat="1" applyFont="1" applyAlignment="1">
      <alignment horizontal="left"/>
    </xf>
    <xf numFmtId="166" fontId="45" fillId="0" borderId="0" xfId="0" applyFont="1"/>
    <xf numFmtId="169" fontId="0" fillId="0" borderId="0" xfId="1" applyNumberFormat="1" applyFont="1" applyFill="1" applyBorder="1"/>
    <xf numFmtId="166" fontId="44" fillId="15" borderId="0" xfId="0" applyFont="1" applyFill="1"/>
    <xf numFmtId="166" fontId="44" fillId="0" borderId="0" xfId="0" applyFont="1"/>
    <xf numFmtId="171" fontId="6" fillId="0" borderId="0" xfId="1" applyNumberFormat="1" applyFont="1" applyFill="1" applyBorder="1" applyAlignment="1">
      <alignment horizontal="center"/>
    </xf>
    <xf numFmtId="171" fontId="6" fillId="0" borderId="0" xfId="3" applyNumberFormat="1" applyFont="1" applyFill="1" applyBorder="1"/>
    <xf numFmtId="171" fontId="6" fillId="0" borderId="0" xfId="0" applyNumberFormat="1" applyFont="1"/>
    <xf numFmtId="171" fontId="36" fillId="0" borderId="0" xfId="1" applyNumberFormat="1" applyFont="1" applyFill="1" applyBorder="1" applyAlignment="1">
      <alignment horizontal="center"/>
    </xf>
    <xf numFmtId="0" fontId="46" fillId="0" borderId="0" xfId="48" applyFont="1" applyAlignment="1">
      <alignment horizontal="center" vertical="center" wrapText="1"/>
    </xf>
    <xf numFmtId="0" fontId="46" fillId="0" borderId="0" xfId="48" applyFont="1" applyAlignment="1">
      <alignment horizontal="center"/>
    </xf>
    <xf numFmtId="0" fontId="5" fillId="0" borderId="0" xfId="48" applyFont="1" applyAlignment="1">
      <alignment horizontal="center"/>
    </xf>
    <xf numFmtId="171" fontId="3" fillId="0" borderId="0" xfId="0" applyNumberFormat="1" applyFont="1"/>
    <xf numFmtId="0" fontId="5" fillId="0" borderId="11" xfId="0" applyNumberFormat="1" applyFont="1" applyBorder="1"/>
    <xf numFmtId="171" fontId="3" fillId="0" borderId="11" xfId="1" applyNumberFormat="1" applyFont="1" applyBorder="1" applyAlignment="1">
      <alignment horizontal="left" wrapText="1"/>
    </xf>
    <xf numFmtId="171" fontId="3" fillId="0" borderId="11" xfId="0" applyNumberFormat="1" applyFont="1" applyBorder="1"/>
    <xf numFmtId="171" fontId="11" fillId="0" borderId="68" xfId="1" applyNumberFormat="1" applyFont="1" applyFill="1" applyBorder="1"/>
    <xf numFmtId="166" fontId="0" fillId="0" borderId="42" xfId="0" applyBorder="1"/>
    <xf numFmtId="171" fontId="15" fillId="0" borderId="28" xfId="1" applyNumberFormat="1" applyFont="1" applyFill="1" applyBorder="1"/>
    <xf numFmtId="166" fontId="11" fillId="0" borderId="0" xfId="0" applyFont="1" applyAlignment="1">
      <alignment horizontal="left"/>
    </xf>
    <xf numFmtId="171" fontId="11" fillId="0" borderId="69" xfId="1" applyNumberFormat="1" applyFont="1" applyFill="1" applyBorder="1"/>
    <xf numFmtId="166" fontId="18" fillId="0" borderId="37" xfId="0" applyFont="1" applyBorder="1"/>
    <xf numFmtId="166" fontId="52" fillId="0" borderId="0" xfId="0" applyFont="1"/>
    <xf numFmtId="171" fontId="52" fillId="0" borderId="46" xfId="1" applyNumberFormat="1" applyFont="1" applyFill="1" applyBorder="1"/>
    <xf numFmtId="166" fontId="53" fillId="0" borderId="0" xfId="0" applyFont="1"/>
    <xf numFmtId="171" fontId="52" fillId="0" borderId="37" xfId="1" applyNumberFormat="1" applyFont="1" applyFill="1" applyBorder="1"/>
    <xf numFmtId="171" fontId="52" fillId="0" borderId="0" xfId="1" applyNumberFormat="1" applyFont="1" applyFill="1" applyBorder="1"/>
    <xf numFmtId="166" fontId="54" fillId="0" borderId="0" xfId="0" applyFont="1" applyAlignment="1">
      <alignment horizontal="left" indent="1"/>
    </xf>
    <xf numFmtId="171" fontId="52" fillId="0" borderId="28" xfId="1" applyNumberFormat="1" applyFont="1" applyFill="1" applyBorder="1"/>
    <xf numFmtId="171" fontId="11" fillId="0" borderId="52" xfId="1" applyNumberFormat="1" applyFont="1" applyFill="1" applyBorder="1"/>
    <xf numFmtId="171" fontId="11" fillId="0" borderId="60" xfId="1" applyNumberFormat="1" applyFont="1" applyFill="1" applyBorder="1"/>
    <xf numFmtId="166" fontId="55" fillId="0" borderId="0" xfId="0" applyFont="1" applyAlignment="1">
      <alignment horizontal="center"/>
    </xf>
    <xf numFmtId="171" fontId="56" fillId="10" borderId="40" xfId="1" applyNumberFormat="1" applyFont="1" applyFill="1" applyBorder="1" applyAlignment="1">
      <alignment vertical="center"/>
    </xf>
    <xf numFmtId="171" fontId="56" fillId="10" borderId="28" xfId="1" applyNumberFormat="1" applyFont="1" applyFill="1" applyBorder="1" applyAlignment="1">
      <alignment vertical="center"/>
    </xf>
    <xf numFmtId="171" fontId="56" fillId="10" borderId="40" xfId="1" applyNumberFormat="1" applyFont="1" applyFill="1" applyBorder="1"/>
    <xf numFmtId="166" fontId="57" fillId="0" borderId="0" xfId="0" applyFont="1" applyAlignment="1">
      <alignment vertical="center"/>
    </xf>
    <xf numFmtId="0" fontId="54" fillId="0" borderId="0" xfId="0" applyNumberFormat="1" applyFont="1"/>
    <xf numFmtId="171" fontId="15" fillId="0" borderId="33" xfId="1" applyNumberFormat="1" applyFont="1" applyFill="1" applyBorder="1"/>
    <xf numFmtId="166" fontId="11" fillId="0" borderId="42" xfId="0" applyFont="1" applyBorder="1"/>
    <xf numFmtId="171" fontId="11" fillId="0" borderId="33" xfId="1" applyNumberFormat="1" applyFont="1" applyBorder="1"/>
    <xf numFmtId="166" fontId="15" fillId="0" borderId="37" xfId="0" applyFont="1" applyBorder="1" applyAlignment="1">
      <alignment horizontal="left" vertical="justify"/>
    </xf>
    <xf numFmtId="167" fontId="11" fillId="0" borderId="37" xfId="1" applyFont="1" applyFill="1" applyBorder="1"/>
    <xf numFmtId="171" fontId="58" fillId="0" borderId="0" xfId="1" applyNumberFormat="1" applyFont="1"/>
    <xf numFmtId="171" fontId="54" fillId="0" borderId="49" xfId="1" applyNumberFormat="1" applyFont="1" applyFill="1" applyBorder="1"/>
    <xf numFmtId="171" fontId="54" fillId="0" borderId="59" xfId="1" applyNumberFormat="1" applyFont="1" applyFill="1" applyBorder="1"/>
    <xf numFmtId="166" fontId="54" fillId="0" borderId="0" xfId="0" applyFont="1"/>
    <xf numFmtId="166" fontId="54" fillId="0" borderId="0" xfId="0" applyFont="1" applyAlignment="1">
      <alignment horizontal="left"/>
    </xf>
    <xf numFmtId="166" fontId="61" fillId="0" borderId="0" xfId="0" applyFont="1"/>
    <xf numFmtId="171" fontId="54" fillId="0" borderId="56" xfId="1" applyNumberFormat="1" applyFont="1" applyFill="1" applyBorder="1"/>
    <xf numFmtId="0" fontId="63" fillId="0" borderId="0" xfId="59" applyFont="1"/>
    <xf numFmtId="0" fontId="62" fillId="0" borderId="0" xfId="59" applyFont="1" applyAlignment="1">
      <alignment horizontal="center"/>
    </xf>
    <xf numFmtId="41" fontId="62" fillId="24" borderId="8" xfId="42" applyFont="1" applyFill="1" applyBorder="1" applyAlignment="1">
      <alignment horizontal="center" vertical="center"/>
    </xf>
    <xf numFmtId="0" fontId="64" fillId="0" borderId="10" xfId="59" applyFont="1" applyBorder="1"/>
    <xf numFmtId="41" fontId="63" fillId="0" borderId="11" xfId="42" applyFont="1" applyFill="1" applyBorder="1"/>
    <xf numFmtId="41" fontId="64" fillId="0" borderId="11" xfId="42" applyFont="1" applyFill="1" applyBorder="1"/>
    <xf numFmtId="0" fontId="62" fillId="7" borderId="18" xfId="59" applyFont="1" applyFill="1" applyBorder="1" applyAlignment="1">
      <alignment horizontal="center"/>
    </xf>
    <xf numFmtId="41" fontId="62" fillId="7" borderId="19" xfId="42" applyFont="1" applyFill="1" applyBorder="1"/>
    <xf numFmtId="41" fontId="63" fillId="0" borderId="0" xfId="42" applyFont="1"/>
    <xf numFmtId="0" fontId="62" fillId="23" borderId="4" xfId="59" applyFont="1" applyFill="1" applyBorder="1" applyAlignment="1">
      <alignment horizontal="center" vertical="center"/>
    </xf>
    <xf numFmtId="41" fontId="62" fillId="24" borderId="5" xfId="42" applyFont="1" applyFill="1" applyBorder="1" applyAlignment="1">
      <alignment horizontal="center" vertical="center"/>
    </xf>
    <xf numFmtId="0" fontId="64" fillId="0" borderId="7" xfId="59" applyFont="1" applyBorder="1"/>
    <xf numFmtId="41" fontId="63" fillId="0" borderId="8" xfId="42" applyFont="1" applyFill="1" applyBorder="1"/>
    <xf numFmtId="41" fontId="63" fillId="0" borderId="12" xfId="59" applyNumberFormat="1" applyFont="1" applyBorder="1"/>
    <xf numFmtId="41" fontId="62" fillId="7" borderId="20" xfId="42" applyFont="1" applyFill="1" applyBorder="1"/>
    <xf numFmtId="175" fontId="63" fillId="0" borderId="0" xfId="59" applyNumberFormat="1" applyFont="1"/>
    <xf numFmtId="171" fontId="69" fillId="12" borderId="0" xfId="1" applyNumberFormat="1" applyFont="1" applyFill="1" applyBorder="1" applyAlignment="1">
      <alignment horizontal="center" wrapText="1"/>
    </xf>
    <xf numFmtId="169" fontId="58" fillId="0" borderId="0" xfId="44" applyNumberFormat="1" applyFont="1"/>
    <xf numFmtId="169" fontId="58" fillId="0" borderId="0" xfId="44" applyNumberFormat="1" applyFont="1" applyFill="1"/>
    <xf numFmtId="0" fontId="2" fillId="0" borderId="0" xfId="58" applyFont="1"/>
    <xf numFmtId="171" fontId="4" fillId="0" borderId="0" xfId="1" applyNumberFormat="1" applyFont="1"/>
    <xf numFmtId="0" fontId="64" fillId="0" borderId="22" xfId="59" applyFont="1" applyBorder="1"/>
    <xf numFmtId="41" fontId="63" fillId="0" borderId="71" xfId="42" applyFont="1" applyFill="1" applyBorder="1"/>
    <xf numFmtId="0" fontId="70" fillId="10" borderId="11" xfId="0" applyNumberFormat="1" applyFont="1" applyFill="1" applyBorder="1" applyAlignment="1">
      <alignment horizontal="center"/>
    </xf>
    <xf numFmtId="169" fontId="70" fillId="10" borderId="11" xfId="1" applyNumberFormat="1" applyFont="1" applyFill="1" applyBorder="1" applyAlignment="1">
      <alignment horizontal="center"/>
    </xf>
    <xf numFmtId="0" fontId="71" fillId="0" borderId="11" xfId="0" applyNumberFormat="1" applyFont="1" applyBorder="1"/>
    <xf numFmtId="0" fontId="5" fillId="11" borderId="1" xfId="58" applyFont="1" applyFill="1" applyBorder="1" applyAlignment="1">
      <alignment horizontal="center" vertical="center"/>
    </xf>
    <xf numFmtId="169" fontId="5" fillId="11" borderId="2" xfId="44" applyNumberFormat="1" applyFont="1" applyFill="1" applyBorder="1" applyAlignment="1">
      <alignment horizontal="center" vertical="center"/>
    </xf>
    <xf numFmtId="0" fontId="5" fillId="11" borderId="2" xfId="58" applyFont="1" applyFill="1" applyBorder="1" applyAlignment="1">
      <alignment horizontal="center" vertical="center" wrapText="1"/>
    </xf>
    <xf numFmtId="169" fontId="5" fillId="11" borderId="3" xfId="44" applyNumberFormat="1" applyFont="1" applyFill="1" applyBorder="1" applyAlignment="1">
      <alignment horizontal="center" vertical="center" wrapText="1"/>
    </xf>
    <xf numFmtId="0" fontId="70" fillId="10" borderId="0" xfId="58" applyFont="1" applyFill="1"/>
    <xf numFmtId="169" fontId="70" fillId="10" borderId="0" xfId="44" applyNumberFormat="1" applyFont="1" applyFill="1"/>
    <xf numFmtId="0" fontId="70" fillId="10" borderId="0" xfId="58" applyFont="1" applyFill="1" applyAlignment="1">
      <alignment horizontal="center"/>
    </xf>
    <xf numFmtId="0" fontId="8" fillId="26" borderId="0" xfId="58" applyFont="1" applyFill="1"/>
    <xf numFmtId="169" fontId="8" fillId="26" borderId="0" xfId="44" applyNumberFormat="1" applyFont="1" applyFill="1"/>
    <xf numFmtId="166" fontId="75" fillId="0" borderId="0" xfId="67" applyFont="1"/>
    <xf numFmtId="41" fontId="75" fillId="0" borderId="0" xfId="68" applyFont="1" applyAlignment="1">
      <alignment horizontal="center" vertical="center"/>
    </xf>
    <xf numFmtId="166" fontId="58" fillId="0" borderId="0" xfId="67"/>
    <xf numFmtId="41" fontId="75" fillId="0" borderId="0" xfId="68" applyFont="1" applyFill="1" applyBorder="1" applyAlignment="1">
      <alignment horizontal="center" vertical="center"/>
    </xf>
    <xf numFmtId="166" fontId="75" fillId="0" borderId="0" xfId="67" applyFont="1" applyAlignment="1">
      <alignment horizontal="center" vertical="center"/>
    </xf>
    <xf numFmtId="166" fontId="76" fillId="0" borderId="0" xfId="67" applyFont="1" applyAlignment="1">
      <alignment vertical="center"/>
    </xf>
    <xf numFmtId="166" fontId="77" fillId="0" borderId="0" xfId="67" applyFont="1" applyAlignment="1">
      <alignment horizontal="center" vertical="center"/>
    </xf>
    <xf numFmtId="166" fontId="76" fillId="0" borderId="0" xfId="67" applyFont="1" applyAlignment="1">
      <alignment horizontal="center" vertical="center"/>
    </xf>
    <xf numFmtId="41" fontId="78" fillId="28" borderId="3" xfId="68" applyFont="1" applyFill="1" applyBorder="1" applyAlignment="1">
      <alignment horizontal="center" vertical="center" wrapText="1"/>
    </xf>
    <xf numFmtId="166" fontId="76" fillId="29" borderId="74" xfId="67" applyFont="1" applyFill="1" applyBorder="1" applyAlignment="1">
      <alignment horizontal="center" vertical="center" wrapText="1"/>
    </xf>
    <xf numFmtId="166" fontId="76" fillId="29" borderId="75" xfId="67" applyFont="1" applyFill="1" applyBorder="1" applyAlignment="1">
      <alignment horizontal="center" vertical="center" wrapText="1"/>
    </xf>
    <xf numFmtId="41" fontId="76" fillId="29" borderId="75" xfId="68" applyFont="1" applyFill="1" applyBorder="1" applyAlignment="1">
      <alignment horizontal="center" vertical="center" wrapText="1"/>
    </xf>
    <xf numFmtId="166" fontId="79" fillId="0" borderId="64" xfId="67" applyFont="1" applyBorder="1"/>
    <xf numFmtId="41" fontId="75" fillId="0" borderId="77" xfId="68" applyFont="1" applyBorder="1" applyAlignment="1">
      <alignment horizontal="center" vertical="center"/>
    </xf>
    <xf numFmtId="166" fontId="79" fillId="0" borderId="11" xfId="67" applyFont="1" applyBorder="1" applyAlignment="1">
      <alignment horizontal="left"/>
    </xf>
    <xf numFmtId="41" fontId="75" fillId="0" borderId="11" xfId="68" applyFont="1" applyBorder="1" applyAlignment="1">
      <alignment horizontal="center" vertical="center"/>
    </xf>
    <xf numFmtId="166" fontId="79" fillId="0" borderId="0" xfId="67" applyFont="1"/>
    <xf numFmtId="166" fontId="76" fillId="0" borderId="79" xfId="67" applyFont="1" applyBorder="1"/>
    <xf numFmtId="41" fontId="76" fillId="0" borderId="80" xfId="68" applyFont="1" applyBorder="1" applyAlignment="1">
      <alignment horizontal="center" vertical="center"/>
    </xf>
    <xf numFmtId="166" fontId="79" fillId="0" borderId="77" xfId="67" applyFont="1" applyBorder="1" applyAlignment="1">
      <alignment horizontal="left"/>
    </xf>
    <xf numFmtId="41" fontId="79" fillId="0" borderId="77" xfId="68" applyFont="1" applyBorder="1" applyAlignment="1">
      <alignment horizontal="center" vertical="center"/>
    </xf>
    <xf numFmtId="166" fontId="79" fillId="0" borderId="11" xfId="67" applyFont="1" applyBorder="1"/>
    <xf numFmtId="41" fontId="79" fillId="0" borderId="11" xfId="68" applyFont="1" applyBorder="1" applyAlignment="1">
      <alignment horizontal="center" vertical="center"/>
    </xf>
    <xf numFmtId="166" fontId="76" fillId="0" borderId="0" xfId="67" applyFont="1"/>
    <xf numFmtId="41" fontId="76" fillId="0" borderId="81" xfId="68" applyFont="1" applyBorder="1" applyAlignment="1">
      <alignment horizontal="center" vertical="center"/>
    </xf>
    <xf numFmtId="166" fontId="79" fillId="0" borderId="82" xfId="67" applyFont="1" applyBorder="1" applyAlignment="1">
      <alignment horizontal="left"/>
    </xf>
    <xf numFmtId="41" fontId="79" fillId="0" borderId="71" xfId="68" applyFont="1" applyBorder="1" applyAlignment="1">
      <alignment horizontal="center" vertical="center"/>
    </xf>
    <xf numFmtId="166" fontId="79" fillId="0" borderId="81" xfId="67" applyFont="1" applyBorder="1"/>
    <xf numFmtId="41" fontId="75" fillId="0" borderId="71" xfId="68" applyFont="1" applyBorder="1" applyAlignment="1">
      <alignment horizontal="center" vertical="center"/>
    </xf>
    <xf numFmtId="176" fontId="80" fillId="0" borderId="71" xfId="68" applyNumberFormat="1" applyFont="1" applyBorder="1" applyAlignment="1">
      <alignment horizontal="center" vertical="center"/>
    </xf>
    <xf numFmtId="41" fontId="81" fillId="26" borderId="85" xfId="68" applyFont="1" applyFill="1" applyBorder="1" applyAlignment="1">
      <alignment horizontal="center" vertical="center"/>
    </xf>
    <xf numFmtId="166" fontId="79" fillId="0" borderId="77" xfId="67" applyFont="1" applyBorder="1"/>
    <xf numFmtId="166" fontId="76" fillId="0" borderId="11" xfId="67" applyFont="1" applyBorder="1"/>
    <xf numFmtId="41" fontId="82" fillId="0" borderId="11" xfId="68" applyFont="1" applyBorder="1" applyAlignment="1">
      <alignment horizontal="center" vertical="center"/>
    </xf>
    <xf numFmtId="166" fontId="79" fillId="30" borderId="11" xfId="67" applyFont="1" applyFill="1" applyBorder="1" applyAlignment="1">
      <alignment horizontal="justify" vertical="top"/>
    </xf>
    <xf numFmtId="41" fontId="79" fillId="30" borderId="11" xfId="68" applyFont="1" applyFill="1" applyBorder="1" applyAlignment="1">
      <alignment horizontal="center" vertical="center"/>
    </xf>
    <xf numFmtId="41" fontId="75" fillId="0" borderId="0" xfId="67" applyNumberFormat="1" applyFont="1"/>
    <xf numFmtId="41" fontId="81" fillId="29" borderId="85" xfId="68" applyFont="1" applyFill="1" applyBorder="1" applyAlignment="1">
      <alignment horizontal="center" vertical="center"/>
    </xf>
    <xf numFmtId="176" fontId="81" fillId="29" borderId="85" xfId="68" applyNumberFormat="1" applyFont="1" applyFill="1" applyBorder="1" applyAlignment="1">
      <alignment horizontal="center" vertical="center"/>
    </xf>
    <xf numFmtId="166" fontId="82" fillId="0" borderId="0" xfId="67" applyFont="1"/>
    <xf numFmtId="41" fontId="76" fillId="25" borderId="13" xfId="68" applyFont="1" applyFill="1" applyBorder="1" applyAlignment="1">
      <alignment horizontal="center" vertical="center"/>
    </xf>
    <xf numFmtId="3" fontId="75" fillId="0" borderId="0" xfId="67" applyNumberFormat="1" applyFont="1"/>
    <xf numFmtId="41" fontId="81" fillId="32" borderId="84" xfId="68" applyFont="1" applyFill="1" applyBorder="1" applyAlignment="1">
      <alignment horizontal="center" vertical="center"/>
    </xf>
    <xf numFmtId="41" fontId="81" fillId="32" borderId="85" xfId="68" applyFont="1" applyFill="1" applyBorder="1" applyAlignment="1">
      <alignment horizontal="center" vertical="center"/>
    </xf>
    <xf numFmtId="166" fontId="76" fillId="0" borderId="77" xfId="67" applyFont="1" applyBorder="1"/>
    <xf numFmtId="41" fontId="76" fillId="6" borderId="77" xfId="68" applyFont="1" applyFill="1" applyBorder="1" applyAlignment="1">
      <alignment horizontal="center" vertical="center"/>
    </xf>
    <xf numFmtId="41" fontId="76" fillId="0" borderId="77" xfId="68" applyFont="1" applyBorder="1" applyAlignment="1">
      <alignment horizontal="center" vertical="center"/>
    </xf>
    <xf numFmtId="171" fontId="83" fillId="0" borderId="0" xfId="69" applyNumberFormat="1" applyFont="1"/>
    <xf numFmtId="169" fontId="75" fillId="0" borderId="0" xfId="67" applyNumberFormat="1" applyFont="1"/>
    <xf numFmtId="166" fontId="79" fillId="0" borderId="82" xfId="67" applyFont="1" applyBorder="1"/>
    <xf numFmtId="41" fontId="79" fillId="0" borderId="82" xfId="68" applyFont="1" applyBorder="1" applyAlignment="1">
      <alignment horizontal="center" vertical="center"/>
    </xf>
    <xf numFmtId="41" fontId="79" fillId="0" borderId="78" xfId="68" applyFont="1" applyBorder="1" applyAlignment="1">
      <alignment horizontal="center" vertical="center"/>
    </xf>
    <xf numFmtId="166" fontId="75" fillId="0" borderId="0" xfId="67" applyFont="1" applyAlignment="1">
      <alignment vertical="center"/>
    </xf>
    <xf numFmtId="3" fontId="75" fillId="0" borderId="0" xfId="67" applyNumberFormat="1" applyFont="1" applyAlignment="1">
      <alignment vertical="center"/>
    </xf>
    <xf numFmtId="3" fontId="76" fillId="0" borderId="0" xfId="67" applyNumberFormat="1" applyFont="1" applyAlignment="1">
      <alignment vertical="center"/>
    </xf>
    <xf numFmtId="41" fontId="79" fillId="29" borderId="11" xfId="68" applyFont="1" applyFill="1" applyBorder="1" applyAlignment="1">
      <alignment horizontal="center" vertical="center"/>
    </xf>
    <xf numFmtId="14" fontId="79" fillId="29" borderId="11" xfId="68" applyNumberFormat="1" applyFont="1" applyFill="1" applyBorder="1" applyAlignment="1">
      <alignment horizontal="center" vertical="center"/>
    </xf>
    <xf numFmtId="41" fontId="79" fillId="29" borderId="80" xfId="68" applyFont="1" applyFill="1" applyBorder="1" applyAlignment="1">
      <alignment horizontal="center" vertical="center"/>
    </xf>
    <xf numFmtId="14" fontId="79" fillId="29" borderId="80" xfId="68" applyNumberFormat="1" applyFont="1" applyFill="1" applyBorder="1" applyAlignment="1">
      <alignment horizontal="center" vertical="center"/>
    </xf>
    <xf numFmtId="41" fontId="0" fillId="0" borderId="0" xfId="68" applyFont="1" applyAlignment="1">
      <alignment horizontal="center" vertical="center"/>
    </xf>
    <xf numFmtId="166" fontId="58" fillId="0" borderId="0" xfId="67" applyAlignment="1">
      <alignment horizontal="center" vertical="center"/>
    </xf>
    <xf numFmtId="0" fontId="86" fillId="0" borderId="0" xfId="57" applyFont="1"/>
    <xf numFmtId="0" fontId="87" fillId="0" borderId="0" xfId="57" applyFont="1"/>
    <xf numFmtId="0" fontId="88" fillId="0" borderId="0" xfId="57" applyFont="1" applyAlignment="1">
      <alignment vertical="center"/>
    </xf>
    <xf numFmtId="0" fontId="88" fillId="0" borderId="0" xfId="57" applyFont="1" applyAlignment="1">
      <alignment horizontal="center" vertical="center"/>
    </xf>
    <xf numFmtId="169" fontId="88" fillId="0" borderId="0" xfId="70" applyNumberFormat="1" applyFont="1" applyAlignment="1">
      <alignment horizontal="center" vertical="center"/>
    </xf>
    <xf numFmtId="169" fontId="87" fillId="0" borderId="0" xfId="70" applyNumberFormat="1" applyFont="1"/>
    <xf numFmtId="0" fontId="89" fillId="24" borderId="72" xfId="57" applyFont="1" applyFill="1" applyBorder="1" applyAlignment="1">
      <alignment horizontal="center" vertical="center"/>
    </xf>
    <xf numFmtId="0" fontId="90" fillId="4" borderId="0" xfId="57" applyFont="1" applyFill="1" applyAlignment="1">
      <alignment vertical="center"/>
    </xf>
    <xf numFmtId="49" fontId="89" fillId="24" borderId="1" xfId="70" applyNumberFormat="1" applyFont="1" applyFill="1" applyBorder="1" applyAlignment="1">
      <alignment horizontal="center" vertical="center"/>
    </xf>
    <xf numFmtId="178" fontId="87" fillId="0" borderId="0" xfId="71" applyNumberFormat="1" applyFont="1" applyFill="1" applyAlignment="1">
      <alignment horizontal="right"/>
    </xf>
    <xf numFmtId="0" fontId="89" fillId="0" borderId="0" xfId="57" applyFont="1" applyAlignment="1">
      <alignment horizontal="center" vertical="center"/>
    </xf>
    <xf numFmtId="0" fontId="90" fillId="0" borderId="0" xfId="57" applyFont="1" applyAlignment="1">
      <alignment vertical="center"/>
    </xf>
    <xf numFmtId="169" fontId="89" fillId="0" borderId="0" xfId="70" applyNumberFormat="1" applyFont="1" applyAlignment="1">
      <alignment horizontal="center" vertical="center"/>
    </xf>
    <xf numFmtId="0" fontId="91" fillId="0" borderId="0" xfId="57" applyFont="1" applyAlignment="1">
      <alignment horizontal="center"/>
    </xf>
    <xf numFmtId="169" fontId="91" fillId="0" borderId="0" xfId="70" applyNumberFormat="1" applyFont="1" applyAlignment="1">
      <alignment horizontal="center"/>
    </xf>
    <xf numFmtId="169" fontId="86" fillId="0" borderId="0" xfId="70" applyNumberFormat="1" applyFont="1" applyBorder="1"/>
    <xf numFmtId="169" fontId="87" fillId="0" borderId="0" xfId="70" applyNumberFormat="1" applyFont="1" applyBorder="1"/>
    <xf numFmtId="0" fontId="86" fillId="0" borderId="0" xfId="57" applyFont="1" applyAlignment="1">
      <alignment horizontal="center"/>
    </xf>
    <xf numFmtId="179" fontId="87" fillId="0" borderId="0" xfId="1" applyNumberFormat="1" applyFont="1" applyAlignment="1">
      <alignment horizontal="center"/>
    </xf>
    <xf numFmtId="178" fontId="87" fillId="0" borderId="0" xfId="71" applyNumberFormat="1" applyFont="1"/>
    <xf numFmtId="0" fontId="86" fillId="0" borderId="0" xfId="57" applyFont="1" applyAlignment="1">
      <alignment horizontal="left"/>
    </xf>
    <xf numFmtId="0" fontId="86" fillId="33" borderId="0" xfId="57" applyFont="1" applyFill="1" applyAlignment="1">
      <alignment horizontal="center"/>
    </xf>
    <xf numFmtId="169" fontId="86" fillId="33" borderId="31" xfId="70" applyNumberFormat="1" applyFont="1" applyFill="1" applyBorder="1"/>
    <xf numFmtId="169" fontId="87" fillId="6" borderId="0" xfId="70" applyNumberFormat="1" applyFont="1" applyFill="1" applyBorder="1"/>
    <xf numFmtId="41" fontId="76" fillId="0" borderId="71" xfId="68" applyFont="1" applyBorder="1" applyAlignment="1">
      <alignment horizontal="center" vertical="center"/>
    </xf>
    <xf numFmtId="166" fontId="76" fillId="0" borderId="80" xfId="67" applyFont="1" applyBorder="1"/>
    <xf numFmtId="166" fontId="76" fillId="0" borderId="36" xfId="67" applyFont="1" applyBorder="1"/>
    <xf numFmtId="41" fontId="81" fillId="26" borderId="91" xfId="68" applyFont="1" applyFill="1" applyBorder="1" applyAlignment="1">
      <alignment horizontal="center" vertical="center"/>
    </xf>
    <xf numFmtId="41" fontId="76" fillId="29" borderId="92" xfId="68" applyFont="1" applyFill="1" applyBorder="1" applyAlignment="1">
      <alignment horizontal="center" vertical="center" wrapText="1"/>
    </xf>
    <xf numFmtId="41" fontId="75" fillId="0" borderId="93" xfId="68" applyFont="1" applyBorder="1" applyAlignment="1">
      <alignment horizontal="center" vertical="center"/>
    </xf>
    <xf numFmtId="41" fontId="76" fillId="0" borderId="94" xfId="68" applyFont="1" applyBorder="1" applyAlignment="1">
      <alignment horizontal="center" vertical="center"/>
    </xf>
    <xf numFmtId="41" fontId="75" fillId="0" borderId="95" xfId="68" applyFont="1" applyBorder="1" applyAlignment="1">
      <alignment horizontal="center" vertical="center"/>
    </xf>
    <xf numFmtId="41" fontId="79" fillId="0" borderId="95" xfId="68" applyFont="1" applyBorder="1" applyAlignment="1">
      <alignment horizontal="center" vertical="center"/>
    </xf>
    <xf numFmtId="41" fontId="79" fillId="0" borderId="96" xfId="68" applyFont="1" applyBorder="1" applyAlignment="1">
      <alignment horizontal="center" vertical="center"/>
    </xf>
    <xf numFmtId="41" fontId="75" fillId="0" borderId="96" xfId="68" applyFont="1" applyBorder="1" applyAlignment="1">
      <alignment horizontal="center" vertical="center"/>
    </xf>
    <xf numFmtId="176" fontId="80" fillId="0" borderId="96" xfId="68" applyNumberFormat="1" applyFont="1" applyBorder="1" applyAlignment="1">
      <alignment horizontal="center" vertical="center"/>
    </xf>
    <xf numFmtId="41" fontId="79" fillId="0" borderId="93" xfId="68" applyFont="1" applyBorder="1" applyAlignment="1">
      <alignment horizontal="center" vertical="center"/>
    </xf>
    <xf numFmtId="41" fontId="79" fillId="0" borderId="77" xfId="68" applyFont="1" applyFill="1" applyBorder="1" applyAlignment="1">
      <alignment horizontal="center" vertical="center"/>
    </xf>
    <xf numFmtId="41" fontId="79" fillId="0" borderId="11" xfId="68" applyFont="1" applyFill="1" applyBorder="1" applyAlignment="1">
      <alignment horizontal="center" vertical="center"/>
    </xf>
    <xf numFmtId="172" fontId="54" fillId="0" borderId="0" xfId="0" applyNumberFormat="1" applyFont="1"/>
    <xf numFmtId="0" fontId="11" fillId="0" borderId="0" xfId="0" applyNumberFormat="1" applyFont="1" applyAlignment="1">
      <alignment horizontal="left" indent="1"/>
    </xf>
    <xf numFmtId="0" fontId="52" fillId="0" borderId="0" xfId="0" applyNumberFormat="1" applyFont="1"/>
    <xf numFmtId="172" fontId="52" fillId="0" borderId="0" xfId="0" applyNumberFormat="1" applyFont="1"/>
    <xf numFmtId="0" fontId="54" fillId="0" borderId="0" xfId="0" applyNumberFormat="1" applyFont="1" applyAlignment="1">
      <alignment horizontal="left" indent="1"/>
    </xf>
    <xf numFmtId="0" fontId="96" fillId="23" borderId="7" xfId="59" applyFont="1" applyFill="1" applyBorder="1" applyAlignment="1">
      <alignment horizontal="center" vertical="center"/>
    </xf>
    <xf numFmtId="41" fontId="96" fillId="23" borderId="8" xfId="42" applyFont="1" applyFill="1" applyBorder="1" applyAlignment="1">
      <alignment horizontal="center" vertical="center"/>
    </xf>
    <xf numFmtId="41" fontId="96" fillId="23" borderId="9" xfId="42" applyFont="1" applyFill="1" applyBorder="1" applyAlignment="1">
      <alignment horizontal="center" vertical="center"/>
    </xf>
    <xf numFmtId="171" fontId="52" fillId="4" borderId="28" xfId="1" applyNumberFormat="1" applyFont="1" applyFill="1" applyBorder="1"/>
    <xf numFmtId="166" fontId="84" fillId="0" borderId="0" xfId="0" applyFont="1"/>
    <xf numFmtId="171" fontId="97" fillId="0" borderId="0" xfId="1" applyNumberFormat="1" applyFont="1"/>
    <xf numFmtId="41" fontId="79" fillId="4" borderId="11" xfId="68" applyFont="1" applyFill="1" applyBorder="1" applyAlignment="1">
      <alignment horizontal="center" vertical="center"/>
    </xf>
    <xf numFmtId="41" fontId="79" fillId="6" borderId="77" xfId="68" applyFont="1" applyFill="1" applyBorder="1" applyAlignment="1">
      <alignment horizontal="center" vertical="center"/>
    </xf>
    <xf numFmtId="41" fontId="62" fillId="0" borderId="6" xfId="42" applyFont="1" applyBorder="1" applyAlignment="1">
      <alignment horizontal="center"/>
    </xf>
    <xf numFmtId="166" fontId="0" fillId="0" borderId="48" xfId="0" applyBorder="1"/>
    <xf numFmtId="166" fontId="18" fillId="0" borderId="37" xfId="0" applyFont="1" applyBorder="1" applyAlignment="1">
      <alignment horizontal="left" indent="1"/>
    </xf>
    <xf numFmtId="41" fontId="62" fillId="0" borderId="4" xfId="42" applyFont="1" applyBorder="1" applyAlignment="1"/>
    <xf numFmtId="171" fontId="56" fillId="10" borderId="0" xfId="1" applyNumberFormat="1" applyFont="1" applyFill="1" applyBorder="1" applyAlignment="1">
      <alignment horizontal="center"/>
    </xf>
    <xf numFmtId="166" fontId="98" fillId="10" borderId="0" xfId="49" applyFont="1" applyFill="1" applyAlignment="1">
      <alignment horizontal="center"/>
    </xf>
    <xf numFmtId="166" fontId="51" fillId="0" borderId="0" xfId="0" applyFont="1"/>
    <xf numFmtId="167" fontId="11" fillId="0" borderId="49" xfId="1" applyFont="1" applyFill="1" applyBorder="1"/>
    <xf numFmtId="166" fontId="0" fillId="0" borderId="33" xfId="0" applyBorder="1"/>
    <xf numFmtId="171" fontId="11" fillId="6" borderId="49" xfId="1" applyNumberFormat="1" applyFont="1" applyFill="1" applyBorder="1"/>
    <xf numFmtId="41" fontId="99" fillId="0" borderId="0" xfId="42" applyFont="1"/>
    <xf numFmtId="171" fontId="11" fillId="6" borderId="28" xfId="1" applyNumberFormat="1" applyFont="1" applyFill="1" applyBorder="1"/>
    <xf numFmtId="41" fontId="80" fillId="0" borderId="11" xfId="68" applyFont="1" applyFill="1" applyBorder="1" applyAlignment="1">
      <alignment horizontal="center" vertical="center"/>
    </xf>
    <xf numFmtId="166" fontId="22" fillId="0" borderId="11" xfId="67" applyFont="1" applyBorder="1" applyAlignment="1">
      <alignment horizontal="left"/>
    </xf>
    <xf numFmtId="166" fontId="22" fillId="0" borderId="81" xfId="67" applyFont="1" applyBorder="1"/>
    <xf numFmtId="41" fontId="76" fillId="4" borderId="77" xfId="68" applyFont="1" applyFill="1" applyBorder="1" applyAlignment="1">
      <alignment horizontal="center" vertical="center"/>
    </xf>
    <xf numFmtId="41" fontId="79" fillId="4" borderId="77" xfId="68" applyFont="1" applyFill="1" applyBorder="1" applyAlignment="1">
      <alignment horizontal="center" vertical="center"/>
    </xf>
    <xf numFmtId="41" fontId="23" fillId="4" borderId="11" xfId="68" applyFont="1" applyFill="1" applyBorder="1" applyAlignment="1">
      <alignment horizontal="center" vertical="center"/>
    </xf>
    <xf numFmtId="41" fontId="82" fillId="0" borderId="0" xfId="67" applyNumberFormat="1" applyFont="1"/>
    <xf numFmtId="171" fontId="0" fillId="0" borderId="42" xfId="1" applyNumberFormat="1" applyFont="1" applyBorder="1"/>
    <xf numFmtId="166" fontId="15" fillId="0" borderId="37" xfId="0" applyFont="1" applyBorder="1"/>
    <xf numFmtId="171" fontId="56" fillId="10" borderId="28" xfId="1" applyNumberFormat="1" applyFont="1" applyFill="1" applyBorder="1"/>
    <xf numFmtId="166" fontId="53" fillId="0" borderId="48" xfId="0" applyFont="1" applyBorder="1"/>
    <xf numFmtId="166" fontId="18" fillId="0" borderId="37" xfId="0" applyFont="1" applyBorder="1" applyAlignment="1">
      <alignment vertical="center"/>
    </xf>
    <xf numFmtId="166" fontId="65" fillId="0" borderId="0" xfId="0" applyFont="1" applyAlignment="1">
      <alignment horizontal="center"/>
    </xf>
    <xf numFmtId="166" fontId="68" fillId="0" borderId="0" xfId="0" applyFont="1" applyAlignment="1">
      <alignment horizontal="center"/>
    </xf>
    <xf numFmtId="166" fontId="26" fillId="0" borderId="0" xfId="0" applyFont="1" applyAlignment="1">
      <alignment horizontal="center"/>
    </xf>
    <xf numFmtId="166" fontId="30" fillId="0" borderId="0" xfId="0" applyFont="1" applyAlignment="1">
      <alignment horizontal="center"/>
    </xf>
    <xf numFmtId="166" fontId="19" fillId="0" borderId="0" xfId="0" applyFont="1" applyAlignment="1">
      <alignment horizontal="center"/>
    </xf>
    <xf numFmtId="166" fontId="67" fillId="0" borderId="0" xfId="0" applyFont="1" applyAlignment="1">
      <alignment horizontal="center"/>
    </xf>
    <xf numFmtId="166" fontId="66" fillId="0" borderId="0" xfId="0" applyFont="1" applyAlignment="1">
      <alignment horizontal="center"/>
    </xf>
    <xf numFmtId="166" fontId="64" fillId="0" borderId="0" xfId="0" applyFont="1" applyAlignment="1">
      <alignment horizontal="center"/>
    </xf>
    <xf numFmtId="166" fontId="12" fillId="0" borderId="0" xfId="0" applyFont="1" applyAlignment="1">
      <alignment horizontal="left" vertical="center" wrapText="1"/>
    </xf>
    <xf numFmtId="171" fontId="14" fillId="0" borderId="0" xfId="1" applyNumberFormat="1" applyFont="1" applyFill="1" applyBorder="1" applyAlignment="1">
      <alignment horizontal="center" vertical="center" wrapText="1"/>
    </xf>
    <xf numFmtId="0" fontId="74" fillId="0" borderId="0" xfId="59" applyFont="1" applyAlignment="1">
      <alignment horizontal="center"/>
    </xf>
    <xf numFmtId="41" fontId="62" fillId="0" borderId="4" xfId="42" applyFont="1" applyBorder="1" applyAlignment="1">
      <alignment horizontal="center"/>
    </xf>
    <xf numFmtId="41" fontId="62" fillId="0" borderId="5" xfId="42" applyFont="1" applyBorder="1" applyAlignment="1">
      <alignment horizontal="center"/>
    </xf>
    <xf numFmtId="41" fontId="62" fillId="0" borderId="6" xfId="42" applyFont="1" applyBorder="1" applyAlignment="1">
      <alignment horizontal="center"/>
    </xf>
    <xf numFmtId="41" fontId="62" fillId="0" borderId="101" xfId="42" applyFont="1" applyBorder="1" applyAlignment="1">
      <alignment horizontal="center"/>
    </xf>
    <xf numFmtId="0" fontId="63" fillId="0" borderId="0" xfId="59" applyFont="1" applyAlignment="1">
      <alignment horizontal="center"/>
    </xf>
    <xf numFmtId="0" fontId="73" fillId="0" borderId="0" xfId="59" applyFont="1" applyAlignment="1">
      <alignment horizontal="center"/>
    </xf>
    <xf numFmtId="166" fontId="76" fillId="29" borderId="76" xfId="67" applyFont="1" applyFill="1" applyBorder="1" applyAlignment="1">
      <alignment horizontal="center" vertical="center" textRotation="90" wrapText="1"/>
    </xf>
    <xf numFmtId="166" fontId="76" fillId="29" borderId="78" xfId="67" applyFont="1" applyFill="1" applyBorder="1" applyAlignment="1">
      <alignment horizontal="center" vertical="center" textRotation="90" wrapText="1"/>
    </xf>
    <xf numFmtId="166" fontId="76" fillId="29" borderId="74" xfId="67" applyFont="1" applyFill="1" applyBorder="1" applyAlignment="1">
      <alignment horizontal="center" vertical="center" textRotation="90" wrapText="1"/>
    </xf>
    <xf numFmtId="166" fontId="84" fillId="0" borderId="0" xfId="67" applyFont="1" applyAlignment="1">
      <alignment horizontal="center" vertical="center"/>
    </xf>
    <xf numFmtId="166" fontId="58" fillId="0" borderId="0" xfId="67" applyAlignment="1">
      <alignment horizontal="center" vertical="center"/>
    </xf>
    <xf numFmtId="166" fontId="78" fillId="28" borderId="73" xfId="67" applyFont="1" applyFill="1" applyBorder="1" applyAlignment="1">
      <alignment horizontal="center" vertical="center"/>
    </xf>
    <xf numFmtId="166" fontId="78" fillId="28" borderId="17" xfId="67" applyFont="1" applyFill="1" applyBorder="1" applyAlignment="1">
      <alignment horizontal="center" vertical="center"/>
    </xf>
    <xf numFmtId="166" fontId="81" fillId="29" borderId="86" xfId="67" applyFont="1" applyFill="1" applyBorder="1" applyAlignment="1">
      <alignment horizontal="center" vertical="center"/>
    </xf>
    <xf numFmtId="166" fontId="81" fillId="29" borderId="87" xfId="67" applyFont="1" applyFill="1" applyBorder="1" applyAlignment="1">
      <alignment horizontal="center" vertical="center"/>
    </xf>
    <xf numFmtId="166" fontId="76" fillId="29" borderId="76" xfId="67" applyFont="1" applyFill="1" applyBorder="1" applyAlignment="1">
      <alignment horizontal="center" vertical="center" textRotation="90"/>
    </xf>
    <xf numFmtId="166" fontId="76" fillId="29" borderId="78" xfId="67" applyFont="1" applyFill="1" applyBorder="1" applyAlignment="1">
      <alignment horizontal="center" vertical="center" textRotation="90"/>
    </xf>
    <xf numFmtId="166" fontId="76" fillId="29" borderId="74" xfId="67" applyFont="1" applyFill="1" applyBorder="1" applyAlignment="1">
      <alignment horizontal="center" vertical="center" textRotation="90"/>
    </xf>
    <xf numFmtId="166" fontId="81" fillId="26" borderId="40" xfId="67" applyFont="1" applyFill="1" applyBorder="1" applyAlignment="1">
      <alignment horizontal="center" vertical="center"/>
    </xf>
    <xf numFmtId="166" fontId="81" fillId="26" borderId="29" xfId="67" applyFont="1" applyFill="1" applyBorder="1" applyAlignment="1">
      <alignment horizontal="center" vertical="center"/>
    </xf>
    <xf numFmtId="166" fontId="76" fillId="29" borderId="97" xfId="67" applyFont="1" applyFill="1" applyBorder="1" applyAlignment="1">
      <alignment horizontal="center" vertical="center" textRotation="90" wrapText="1"/>
    </xf>
    <xf numFmtId="166" fontId="76" fillId="29" borderId="98" xfId="67" applyFont="1" applyFill="1" applyBorder="1" applyAlignment="1">
      <alignment horizontal="center" vertical="center" textRotation="90" wrapText="1"/>
    </xf>
    <xf numFmtId="166" fontId="81" fillId="26" borderId="83" xfId="67" applyFont="1" applyFill="1" applyBorder="1" applyAlignment="1">
      <alignment horizontal="center" vertical="center"/>
    </xf>
    <xf numFmtId="166" fontId="81" fillId="26" borderId="84" xfId="67" applyFont="1" applyFill="1" applyBorder="1" applyAlignment="1">
      <alignment horizontal="center" vertical="center"/>
    </xf>
    <xf numFmtId="166" fontId="76" fillId="29" borderId="80" xfId="67" applyFont="1" applyFill="1" applyBorder="1" applyAlignment="1">
      <alignment horizontal="center"/>
    </xf>
    <xf numFmtId="166" fontId="76" fillId="25" borderId="14" xfId="67" applyFont="1" applyFill="1" applyBorder="1" applyAlignment="1">
      <alignment horizontal="center" vertical="center"/>
    </xf>
    <xf numFmtId="166" fontId="76" fillId="25" borderId="13" xfId="67" applyFont="1" applyFill="1" applyBorder="1" applyAlignment="1">
      <alignment horizontal="center" vertical="center"/>
    </xf>
    <xf numFmtId="166" fontId="76" fillId="31" borderId="71" xfId="67" applyFont="1" applyFill="1" applyBorder="1" applyAlignment="1">
      <alignment horizontal="center" vertical="center" textRotation="90" wrapText="1"/>
    </xf>
    <xf numFmtId="166" fontId="76" fillId="31" borderId="78" xfId="67" applyFont="1" applyFill="1" applyBorder="1" applyAlignment="1">
      <alignment horizontal="center" vertical="center" textRotation="90" wrapText="1"/>
    </xf>
    <xf numFmtId="166" fontId="81" fillId="32" borderId="83" xfId="67" applyFont="1" applyFill="1" applyBorder="1" applyAlignment="1">
      <alignment horizontal="center" vertical="center"/>
    </xf>
    <xf numFmtId="166" fontId="81" fillId="32" borderId="84" xfId="67" applyFont="1" applyFill="1" applyBorder="1" applyAlignment="1">
      <alignment horizontal="center" vertical="center"/>
    </xf>
    <xf numFmtId="166" fontId="76" fillId="29" borderId="88" xfId="67" applyFont="1" applyFill="1" applyBorder="1" applyAlignment="1">
      <alignment horizontal="center" vertical="center" textRotation="90" wrapText="1"/>
    </xf>
    <xf numFmtId="166" fontId="76" fillId="29" borderId="67" xfId="67" applyFont="1" applyFill="1" applyBorder="1" applyAlignment="1">
      <alignment horizontal="center" vertical="center" textRotation="90" wrapText="1"/>
    </xf>
    <xf numFmtId="166" fontId="76" fillId="29" borderId="89" xfId="67" applyFont="1" applyFill="1" applyBorder="1" applyAlignment="1">
      <alignment horizontal="center" vertical="center" textRotation="90" wrapText="1"/>
    </xf>
    <xf numFmtId="166" fontId="76" fillId="33" borderId="88" xfId="67" applyFont="1" applyFill="1" applyBorder="1" applyAlignment="1">
      <alignment horizontal="center" vertical="center" wrapText="1"/>
    </xf>
    <xf numFmtId="166" fontId="76" fillId="33" borderId="90" xfId="67" applyFont="1" applyFill="1" applyBorder="1" applyAlignment="1">
      <alignment horizontal="center" vertical="center" wrapText="1"/>
    </xf>
    <xf numFmtId="166" fontId="76" fillId="33" borderId="67" xfId="67" applyFont="1" applyFill="1" applyBorder="1" applyAlignment="1">
      <alignment horizontal="center" vertical="center" wrapText="1"/>
    </xf>
    <xf numFmtId="166" fontId="76" fillId="33" borderId="82" xfId="67" applyFont="1" applyFill="1" applyBorder="1" applyAlignment="1">
      <alignment horizontal="center" vertical="center" wrapText="1"/>
    </xf>
    <xf numFmtId="41" fontId="95" fillId="33" borderId="76" xfId="68" applyFont="1" applyFill="1" applyBorder="1" applyAlignment="1">
      <alignment horizontal="center" vertical="center"/>
    </xf>
    <xf numFmtId="41" fontId="95" fillId="33" borderId="78" xfId="68" applyFont="1" applyFill="1" applyBorder="1" applyAlignment="1">
      <alignment horizontal="center" vertical="center"/>
    </xf>
    <xf numFmtId="41" fontId="52" fillId="33" borderId="76" xfId="68" applyFont="1" applyFill="1" applyBorder="1" applyAlignment="1">
      <alignment horizontal="center" vertical="center"/>
    </xf>
    <xf numFmtId="41" fontId="52" fillId="33" borderId="78" xfId="68" applyFont="1" applyFill="1" applyBorder="1" applyAlignment="1">
      <alignment horizontal="center" vertical="center"/>
    </xf>
    <xf numFmtId="166" fontId="76" fillId="29" borderId="11" xfId="67" applyFont="1" applyFill="1" applyBorder="1" applyAlignment="1">
      <alignment horizontal="center"/>
    </xf>
    <xf numFmtId="0" fontId="62" fillId="23" borderId="21" xfId="59" applyFont="1" applyFill="1" applyBorder="1" applyAlignment="1">
      <alignment horizontal="center" vertical="center"/>
    </xf>
    <xf numFmtId="0" fontId="62" fillId="23" borderId="70" xfId="59" applyFont="1" applyFill="1" applyBorder="1" applyAlignment="1">
      <alignment horizontal="center" vertical="center"/>
    </xf>
    <xf numFmtId="41" fontId="62" fillId="0" borderId="99" xfId="42" applyFont="1" applyBorder="1" applyAlignment="1">
      <alignment horizontal="center"/>
    </xf>
    <xf numFmtId="41" fontId="62" fillId="0" borderId="100" xfId="42" applyFont="1" applyBorder="1" applyAlignment="1">
      <alignment horizontal="center"/>
    </xf>
    <xf numFmtId="0" fontId="5" fillId="8" borderId="23" xfId="0" applyNumberFormat="1" applyFont="1" applyFill="1" applyBorder="1" applyAlignment="1">
      <alignment horizontal="center"/>
    </xf>
    <xf numFmtId="0" fontId="5" fillId="8" borderId="24" xfId="0" applyNumberFormat="1" applyFont="1" applyFill="1" applyBorder="1" applyAlignment="1">
      <alignment horizontal="center"/>
    </xf>
    <xf numFmtId="0" fontId="5" fillId="8" borderId="25" xfId="0" applyNumberFormat="1" applyFont="1" applyFill="1" applyBorder="1" applyAlignment="1">
      <alignment horizontal="center"/>
    </xf>
    <xf numFmtId="0" fontId="5" fillId="0" borderId="11" xfId="0" applyNumberFormat="1" applyFont="1" applyBorder="1" applyAlignment="1">
      <alignment horizontal="center"/>
    </xf>
    <xf numFmtId="0" fontId="5" fillId="8" borderId="1" xfId="0" applyNumberFormat="1" applyFont="1" applyFill="1" applyBorder="1" applyAlignment="1">
      <alignment horizontal="center"/>
    </xf>
    <xf numFmtId="0" fontId="5" fillId="8" borderId="3" xfId="0" applyNumberFormat="1" applyFont="1" applyFill="1" applyBorder="1" applyAlignment="1">
      <alignment horizontal="center"/>
    </xf>
    <xf numFmtId="0" fontId="5" fillId="7" borderId="11" xfId="0" applyNumberFormat="1" applyFont="1" applyFill="1" applyBorder="1" applyAlignment="1">
      <alignment horizontal="center"/>
    </xf>
    <xf numFmtId="0" fontId="72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71" fillId="0" borderId="11" xfId="0" applyNumberFormat="1" applyFont="1" applyBorder="1" applyAlignment="1">
      <alignment horizontal="center" vertical="center"/>
    </xf>
    <xf numFmtId="0" fontId="72" fillId="0" borderId="0" xfId="58" applyFont="1" applyAlignment="1">
      <alignment horizontal="center"/>
    </xf>
    <xf numFmtId="0" fontId="92" fillId="0" borderId="0" xfId="57" applyFont="1" applyAlignment="1">
      <alignment horizontal="center"/>
    </xf>
    <xf numFmtId="0" fontId="93" fillId="0" borderId="0" xfId="57" applyFont="1" applyAlignment="1">
      <alignment horizontal="center" vertical="center"/>
    </xf>
    <xf numFmtId="0" fontId="94" fillId="0" borderId="0" xfId="57" applyFont="1" applyAlignment="1">
      <alignment horizontal="center" vertical="center"/>
    </xf>
    <xf numFmtId="0" fontId="91" fillId="27" borderId="0" xfId="57" applyFont="1" applyFill="1" applyAlignment="1">
      <alignment horizontal="center" vertical="center"/>
    </xf>
  </cellXfs>
  <cellStyles count="72">
    <cellStyle name="20% - Énfasis1 2" xfId="5" xr:uid="{00000000-0005-0000-0000-000000000000}"/>
    <cellStyle name="20% - Énfasis1 2 2" xfId="6" xr:uid="{00000000-0005-0000-0000-000001000000}"/>
    <cellStyle name="20% - Énfasis1 3" xfId="7" xr:uid="{00000000-0005-0000-0000-000002000000}"/>
    <cellStyle name="20% - Énfasis2 2" xfId="8" xr:uid="{00000000-0005-0000-0000-000003000000}"/>
    <cellStyle name="20% - Énfasis2 2 2" xfId="9" xr:uid="{00000000-0005-0000-0000-000004000000}"/>
    <cellStyle name="20% - Énfasis2 3" xfId="10" xr:uid="{00000000-0005-0000-0000-000005000000}"/>
    <cellStyle name="20% - Énfasis3 2" xfId="11" xr:uid="{00000000-0005-0000-0000-000006000000}"/>
    <cellStyle name="20% - Énfasis3 2 2" xfId="12" xr:uid="{00000000-0005-0000-0000-000007000000}"/>
    <cellStyle name="20% - Énfasis3 3" xfId="13" xr:uid="{00000000-0005-0000-0000-000008000000}"/>
    <cellStyle name="20% - Énfasis4 2" xfId="14" xr:uid="{00000000-0005-0000-0000-000009000000}"/>
    <cellStyle name="20% - Énfasis4 2 2" xfId="15" xr:uid="{00000000-0005-0000-0000-00000A000000}"/>
    <cellStyle name="20% - Énfasis4 3" xfId="16" xr:uid="{00000000-0005-0000-0000-00000B000000}"/>
    <cellStyle name="20% - Énfasis5 2" xfId="17" xr:uid="{00000000-0005-0000-0000-00000C000000}"/>
    <cellStyle name="20% - Énfasis5 2 2" xfId="18" xr:uid="{00000000-0005-0000-0000-00000D000000}"/>
    <cellStyle name="20% - Énfasis5 3" xfId="19" xr:uid="{00000000-0005-0000-0000-00000E000000}"/>
    <cellStyle name="20% - Énfasis6 2" xfId="20" xr:uid="{00000000-0005-0000-0000-00000F000000}"/>
    <cellStyle name="20% - Énfasis6 2 2" xfId="21" xr:uid="{00000000-0005-0000-0000-000010000000}"/>
    <cellStyle name="20% - Énfasis6 3" xfId="22" xr:uid="{00000000-0005-0000-0000-000011000000}"/>
    <cellStyle name="40% - Énfasis1 2" xfId="23" xr:uid="{00000000-0005-0000-0000-000012000000}"/>
    <cellStyle name="40% - Énfasis1 2 2" xfId="24" xr:uid="{00000000-0005-0000-0000-000013000000}"/>
    <cellStyle name="40% - Énfasis1 3" xfId="25" xr:uid="{00000000-0005-0000-0000-000014000000}"/>
    <cellStyle name="40% - Énfasis2 2" xfId="26" xr:uid="{00000000-0005-0000-0000-000015000000}"/>
    <cellStyle name="40% - Énfasis2 2 2" xfId="27" xr:uid="{00000000-0005-0000-0000-000016000000}"/>
    <cellStyle name="40% - Énfasis2 3" xfId="28" xr:uid="{00000000-0005-0000-0000-000017000000}"/>
    <cellStyle name="40% - Énfasis3 2" xfId="29" xr:uid="{00000000-0005-0000-0000-000018000000}"/>
    <cellStyle name="40% - Énfasis3 2 2" xfId="30" xr:uid="{00000000-0005-0000-0000-000019000000}"/>
    <cellStyle name="40% - Énfasis3 3" xfId="31" xr:uid="{00000000-0005-0000-0000-00001A000000}"/>
    <cellStyle name="40% - Énfasis4 2" xfId="32" xr:uid="{00000000-0005-0000-0000-00001B000000}"/>
    <cellStyle name="40% - Énfasis4 2 2" xfId="33" xr:uid="{00000000-0005-0000-0000-00001C000000}"/>
    <cellStyle name="40% - Énfasis4 3" xfId="34" xr:uid="{00000000-0005-0000-0000-00001D000000}"/>
    <cellStyle name="40% - Énfasis5 2" xfId="35" xr:uid="{00000000-0005-0000-0000-00001E000000}"/>
    <cellStyle name="40% - Énfasis5 2 2" xfId="36" xr:uid="{00000000-0005-0000-0000-00001F000000}"/>
    <cellStyle name="40% - Énfasis5 3" xfId="37" xr:uid="{00000000-0005-0000-0000-000020000000}"/>
    <cellStyle name="40% - Énfasis6 2" xfId="38" xr:uid="{00000000-0005-0000-0000-000021000000}"/>
    <cellStyle name="40% - Énfasis6 2 2" xfId="39" xr:uid="{00000000-0005-0000-0000-000022000000}"/>
    <cellStyle name="40% - Énfasis6 3" xfId="40" xr:uid="{00000000-0005-0000-0000-000023000000}"/>
    <cellStyle name="Hipervínculo" xfId="4" builtinId="8"/>
    <cellStyle name="Millares" xfId="1" builtinId="3"/>
    <cellStyle name="Millares [0]" xfId="3" builtinId="6"/>
    <cellStyle name="Millares [0] 2" xfId="41" xr:uid="{00000000-0005-0000-0000-000027000000}"/>
    <cellStyle name="Millares [0] 3" xfId="42" xr:uid="{00000000-0005-0000-0000-000028000000}"/>
    <cellStyle name="Millares [0] 4" xfId="68" xr:uid="{00000000-0005-0000-0000-000029000000}"/>
    <cellStyle name="Millares 2" xfId="43" xr:uid="{00000000-0005-0000-0000-00002A000000}"/>
    <cellStyle name="Millares 2 2" xfId="44" xr:uid="{00000000-0005-0000-0000-00002B000000}"/>
    <cellStyle name="Millares 3" xfId="45" xr:uid="{00000000-0005-0000-0000-00002C000000}"/>
    <cellStyle name="Millares 3 2" xfId="71" xr:uid="{00000000-0005-0000-0000-00002D000000}"/>
    <cellStyle name="Millares 4" xfId="46" xr:uid="{00000000-0005-0000-0000-00002E000000}"/>
    <cellStyle name="Millares 5" xfId="69" xr:uid="{00000000-0005-0000-0000-00002F000000}"/>
    <cellStyle name="Millares 6" xfId="70" xr:uid="{00000000-0005-0000-0000-000030000000}"/>
    <cellStyle name="Moneda" xfId="2" builtinId="4"/>
    <cellStyle name="Moneda 2" xfId="47" xr:uid="{00000000-0005-0000-0000-000032000000}"/>
    <cellStyle name="Normal" xfId="0" builtinId="0"/>
    <cellStyle name="Normal 10" xfId="67" xr:uid="{00000000-0005-0000-0000-000034000000}"/>
    <cellStyle name="Normal 10 10" xfId="48" xr:uid="{00000000-0005-0000-0000-000035000000}"/>
    <cellStyle name="Normal 2" xfId="49" xr:uid="{00000000-0005-0000-0000-000036000000}"/>
    <cellStyle name="Normal 2 2" xfId="50" xr:uid="{00000000-0005-0000-0000-000037000000}"/>
    <cellStyle name="Normal 2 2 2" xfId="51" xr:uid="{00000000-0005-0000-0000-000038000000}"/>
    <cellStyle name="Normal 2 3" xfId="52" xr:uid="{00000000-0005-0000-0000-000039000000}"/>
    <cellStyle name="Normal 2 4" xfId="53" xr:uid="{00000000-0005-0000-0000-00003A000000}"/>
    <cellStyle name="Normal 2 5" xfId="54" xr:uid="{00000000-0005-0000-0000-00003B000000}"/>
    <cellStyle name="Normal 3" xfId="55" xr:uid="{00000000-0005-0000-0000-00003C000000}"/>
    <cellStyle name="Normal 4" xfId="56" xr:uid="{00000000-0005-0000-0000-00003D000000}"/>
    <cellStyle name="Normal 5" xfId="57" xr:uid="{00000000-0005-0000-0000-00003E000000}"/>
    <cellStyle name="Normal 5 2" xfId="58" xr:uid="{00000000-0005-0000-0000-00003F000000}"/>
    <cellStyle name="Normal 6" xfId="59" xr:uid="{00000000-0005-0000-0000-000040000000}"/>
    <cellStyle name="Normal 7" xfId="60" xr:uid="{00000000-0005-0000-0000-000041000000}"/>
    <cellStyle name="Normal 8" xfId="61" xr:uid="{00000000-0005-0000-0000-000042000000}"/>
    <cellStyle name="Normal 9" xfId="62" xr:uid="{00000000-0005-0000-0000-000043000000}"/>
    <cellStyle name="Notas 2" xfId="63" xr:uid="{00000000-0005-0000-0000-000044000000}"/>
    <cellStyle name="Notas 2 2" xfId="64" xr:uid="{00000000-0005-0000-0000-000045000000}"/>
    <cellStyle name="Notas 2 2 2" xfId="65" xr:uid="{00000000-0005-0000-0000-000046000000}"/>
    <cellStyle name="Notas 2 3" xfId="66" xr:uid="{00000000-0005-0000-0000-000047000000}"/>
  </cellStyles>
  <dxfs count="0"/>
  <tableStyles count="0" defaultTableStyle="TableStyleMedium9" defaultPivotStyle="PivotStyleLight16"/>
  <colors>
    <mruColors>
      <color rgb="FFFF99C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1.%20CLIENTES\2.JIMMY%20ARCHILA%20SILVA\SERVICIOS\MORALES%20&amp;%20MARDINI%20INGENIEROS%20CIVILES%20LTDA\3.ESTADOS%20FINANCIEROS\2023\12.%20DICIEMBRE\ESTADOS%20FINACIEROS..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F"/>
      <sheetName val="ERI"/>
      <sheetName val="Hoja1"/>
      <sheetName val="NOTAS "/>
      <sheetName val="IND. ECONOMICOS"/>
      <sheetName val="CER RETE FUENTE"/>
      <sheetName val="COMPARATIVO RENTA"/>
      <sheetName val="IND Y COM"/>
      <sheetName val="DEC RENTA 2021"/>
      <sheetName val="IND Y COMERCIO"/>
      <sheetName val="FLUJO DE CAJA"/>
      <sheetName val="EFE"/>
      <sheetName val="ECP"/>
      <sheetName val="CONTRATOS"/>
    </sheetNames>
    <sheetDataSet>
      <sheetData sheetId="0" refreshError="1"/>
      <sheetData sheetId="1" refreshError="1"/>
      <sheetData sheetId="2" refreshError="1"/>
      <sheetData sheetId="3" refreshError="1">
        <row r="44">
          <cell r="M44">
            <v>0</v>
          </cell>
          <cell r="N4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X61"/>
  <sheetViews>
    <sheetView showGridLines="0" tabSelected="1" topLeftCell="A23" zoomScale="90" zoomScaleNormal="90" workbookViewId="0">
      <selection activeCell="U34" sqref="U34"/>
    </sheetView>
  </sheetViews>
  <sheetFormatPr baseColWidth="10" defaultColWidth="1.7109375" defaultRowHeight="12.75"/>
  <cols>
    <col min="2" max="2" width="45.28515625" customWidth="1"/>
    <col min="3" max="3" width="2.140625" style="239" customWidth="1"/>
    <col min="4" max="4" width="6.5703125" style="240" customWidth="1"/>
    <col min="5" max="5" width="1.7109375" style="240" customWidth="1"/>
    <col min="6" max="6" width="16.5703125" style="241" customWidth="1"/>
    <col min="7" max="7" width="1.7109375" style="240" customWidth="1"/>
    <col min="8" max="8" width="19.5703125" style="241" customWidth="1"/>
    <col min="9" max="19" width="19.5703125" style="241" hidden="1" customWidth="1"/>
    <col min="20" max="20" width="1.7109375" style="240" customWidth="1"/>
    <col min="21" max="21" width="19.5703125" style="241" customWidth="1"/>
    <col min="22" max="32" width="14.140625" style="241" hidden="1" customWidth="1"/>
    <col min="33" max="33" width="1.7109375" style="240" customWidth="1"/>
    <col min="34" max="34" width="16.7109375" style="241" customWidth="1"/>
    <col min="35" max="35" width="14.5703125" style="241" hidden="1" customWidth="1"/>
    <col min="36" max="36" width="14.28515625" style="241" hidden="1" customWidth="1"/>
    <col min="37" max="37" width="14.140625" style="241" hidden="1" customWidth="1"/>
    <col min="38" max="38" width="14.5703125" style="241" hidden="1" customWidth="1"/>
    <col min="39" max="39" width="16.7109375" style="241" hidden="1" customWidth="1"/>
    <col min="40" max="45" width="16.85546875" style="241" hidden="1" customWidth="1"/>
    <col min="46" max="46" width="1.7109375" style="242" hidden="1" customWidth="1"/>
    <col min="47" max="47" width="19.42578125" style="241" hidden="1" customWidth="1"/>
    <col min="48" max="58" width="13.42578125" style="241" hidden="1" customWidth="1"/>
    <col min="59" max="59" width="2" style="243" hidden="1" customWidth="1"/>
    <col min="60" max="60" width="13.42578125" style="241" hidden="1" customWidth="1"/>
    <col min="61" max="64" width="18.5703125" style="241" hidden="1" customWidth="1"/>
    <col min="65" max="65" width="45.85546875" style="241" hidden="1" customWidth="1"/>
    <col min="66" max="66" width="2" style="240" hidden="1" customWidth="1"/>
    <col min="67" max="67" width="15.42578125" style="241" hidden="1" customWidth="1"/>
    <col min="68" max="68" width="1.7109375" hidden="1" customWidth="1"/>
    <col min="69" max="75" width="1.7109375" customWidth="1"/>
    <col min="76" max="76" width="60" customWidth="1"/>
    <col min="77" max="90" width="1.7109375" customWidth="1"/>
    <col min="91" max="91" width="21.85546875" customWidth="1"/>
    <col min="95" max="95" width="16.7109375" customWidth="1"/>
  </cols>
  <sheetData>
    <row r="1" spans="2:67">
      <c r="F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H1" s="244"/>
      <c r="AI1" s="244"/>
      <c r="AJ1" s="244"/>
      <c r="AK1" s="244"/>
      <c r="AL1" s="244"/>
      <c r="AM1" s="244"/>
      <c r="AN1" s="244"/>
      <c r="AO1" s="244"/>
      <c r="AP1" s="244"/>
      <c r="AQ1" s="244"/>
      <c r="AR1" s="244"/>
      <c r="AS1" s="244"/>
      <c r="AT1" s="299"/>
      <c r="AU1" s="244"/>
      <c r="AV1" s="244"/>
      <c r="AW1" s="244"/>
      <c r="AX1" s="244"/>
      <c r="AY1" s="244"/>
      <c r="AZ1" s="244"/>
      <c r="BA1" s="244"/>
      <c r="BB1" s="244"/>
      <c r="BC1" s="244"/>
      <c r="BD1" s="244"/>
      <c r="BE1" s="244"/>
      <c r="BF1" s="244"/>
      <c r="BH1" s="244"/>
      <c r="BI1" s="244"/>
      <c r="BJ1" s="244"/>
      <c r="BK1" s="244"/>
      <c r="BL1" s="244"/>
      <c r="BM1" s="244"/>
      <c r="BO1" s="244"/>
    </row>
    <row r="2" spans="2:67" ht="18.75">
      <c r="B2" s="515" t="s">
        <v>0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5"/>
      <c r="AQ2" s="515"/>
      <c r="AR2" s="515"/>
      <c r="AS2" s="515"/>
      <c r="AT2" s="515"/>
      <c r="AU2" s="515"/>
      <c r="AV2" s="515"/>
      <c r="AW2" s="515"/>
      <c r="AX2" s="515"/>
      <c r="AY2" s="515"/>
      <c r="AZ2" s="515"/>
      <c r="BA2" s="515"/>
      <c r="BB2" s="515"/>
      <c r="BC2" s="515"/>
      <c r="BD2" s="515"/>
      <c r="BE2" s="515"/>
      <c r="BF2" s="515"/>
      <c r="BG2" s="515"/>
      <c r="BH2" s="515"/>
      <c r="BI2" s="515"/>
      <c r="BJ2" s="515"/>
      <c r="BK2" s="515"/>
      <c r="BL2" s="515"/>
      <c r="BM2" s="515"/>
      <c r="BN2" s="515"/>
      <c r="BO2" s="515"/>
    </row>
    <row r="3" spans="2:67" ht="14.25">
      <c r="B3" s="516" t="s">
        <v>1</v>
      </c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  <c r="R3" s="516"/>
      <c r="S3" s="516"/>
      <c r="T3" s="516"/>
      <c r="U3" s="516"/>
      <c r="V3" s="516"/>
      <c r="W3" s="516"/>
      <c r="X3" s="516"/>
      <c r="Y3" s="516"/>
      <c r="Z3" s="516"/>
      <c r="AA3" s="516"/>
      <c r="AB3" s="516"/>
      <c r="AC3" s="516"/>
      <c r="AD3" s="516"/>
      <c r="AE3" s="516"/>
      <c r="AF3" s="516"/>
      <c r="AG3" s="516"/>
      <c r="AH3" s="516"/>
      <c r="AI3" s="516"/>
      <c r="AJ3" s="516"/>
      <c r="AK3" s="516"/>
      <c r="AL3" s="516"/>
      <c r="AM3" s="516"/>
      <c r="AN3" s="516"/>
      <c r="AO3" s="516"/>
      <c r="AP3" s="516"/>
      <c r="AQ3" s="516"/>
      <c r="AR3" s="516"/>
      <c r="AS3" s="516"/>
      <c r="AT3" s="516"/>
      <c r="AU3" s="516"/>
      <c r="AV3" s="516"/>
      <c r="AW3" s="516"/>
      <c r="AX3" s="516"/>
      <c r="AY3" s="516"/>
      <c r="AZ3" s="516"/>
      <c r="BA3" s="516"/>
      <c r="BB3" s="516"/>
      <c r="BC3" s="516"/>
      <c r="BD3" s="516"/>
      <c r="BE3" s="516"/>
      <c r="BF3" s="516"/>
      <c r="BG3" s="516"/>
      <c r="BH3" s="516"/>
      <c r="BI3" s="516"/>
      <c r="BJ3" s="516"/>
      <c r="BK3" s="516"/>
      <c r="BL3" s="516"/>
      <c r="BM3" s="516"/>
      <c r="BN3" s="516"/>
      <c r="BO3" s="516"/>
    </row>
    <row r="4" spans="2:67" ht="14.25">
      <c r="B4" s="517" t="s">
        <v>2</v>
      </c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517"/>
      <c r="S4" s="517"/>
      <c r="T4" s="517"/>
      <c r="U4" s="517"/>
      <c r="V4" s="517"/>
      <c r="W4" s="517"/>
      <c r="X4" s="517"/>
      <c r="Y4" s="517"/>
      <c r="Z4" s="517"/>
      <c r="AA4" s="517"/>
      <c r="AB4" s="517"/>
      <c r="AC4" s="517"/>
      <c r="AD4" s="517"/>
      <c r="AE4" s="517"/>
      <c r="AF4" s="517"/>
      <c r="AG4" s="517"/>
      <c r="AH4" s="517"/>
      <c r="AI4" s="517"/>
      <c r="AJ4" s="517"/>
      <c r="AK4" s="517"/>
      <c r="AL4" s="517"/>
      <c r="AM4" s="517"/>
      <c r="AN4" s="517"/>
      <c r="AO4" s="517"/>
      <c r="AP4" s="517"/>
      <c r="AQ4" s="517"/>
      <c r="AR4" s="517"/>
      <c r="AS4" s="517"/>
      <c r="AT4" s="517"/>
      <c r="AU4" s="517"/>
      <c r="AV4" s="517"/>
      <c r="AW4" s="517"/>
      <c r="AX4" s="517"/>
      <c r="AY4" s="517"/>
      <c r="AZ4" s="517"/>
      <c r="BA4" s="517"/>
      <c r="BB4" s="517"/>
      <c r="BC4" s="517"/>
      <c r="BD4" s="517"/>
      <c r="BE4" s="517"/>
      <c r="BF4" s="517"/>
      <c r="BG4" s="517"/>
      <c r="BH4" s="517"/>
      <c r="BI4" s="517"/>
      <c r="BJ4" s="517"/>
      <c r="BK4" s="517"/>
      <c r="BL4" s="517"/>
      <c r="BM4" s="517"/>
      <c r="BN4" s="517"/>
      <c r="BO4" s="517"/>
    </row>
    <row r="5" spans="2:67">
      <c r="B5" s="518" t="s">
        <v>3</v>
      </c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  <c r="U5" s="518"/>
      <c r="V5" s="518"/>
      <c r="W5" s="518"/>
      <c r="X5" s="518"/>
      <c r="Y5" s="518"/>
      <c r="Z5" s="518"/>
      <c r="AA5" s="518"/>
      <c r="AB5" s="518"/>
      <c r="AC5" s="518"/>
      <c r="AD5" s="518"/>
      <c r="AE5" s="518"/>
      <c r="AF5" s="518"/>
      <c r="AG5" s="518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</row>
    <row r="6" spans="2:67">
      <c r="B6" s="194"/>
      <c r="D6" s="230"/>
      <c r="E6" s="230"/>
      <c r="F6" s="244"/>
      <c r="G6" s="230"/>
      <c r="H6" s="244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30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30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99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H6" s="244"/>
      <c r="BI6" s="244"/>
      <c r="BJ6" s="244"/>
      <c r="BK6" s="244"/>
      <c r="BL6" s="244"/>
      <c r="BM6" s="244"/>
      <c r="BN6" s="230"/>
      <c r="BO6" s="244"/>
    </row>
    <row r="7" spans="2:67" ht="15.75">
      <c r="B7" s="245" t="s">
        <v>4</v>
      </c>
      <c r="C7" s="246"/>
      <c r="D7" s="247" t="s">
        <v>5</v>
      </c>
      <c r="E7" s="246"/>
      <c r="F7" s="247" t="s">
        <v>665</v>
      </c>
      <c r="G7" s="246"/>
      <c r="H7" s="247" t="s">
        <v>630</v>
      </c>
      <c r="I7" s="247" t="s">
        <v>626</v>
      </c>
      <c r="J7" s="247" t="s">
        <v>624</v>
      </c>
      <c r="K7" s="247" t="s">
        <v>621</v>
      </c>
      <c r="L7" s="247" t="s">
        <v>617</v>
      </c>
      <c r="M7" s="247" t="s">
        <v>615</v>
      </c>
      <c r="N7" s="247" t="s">
        <v>611</v>
      </c>
      <c r="O7" s="247" t="s">
        <v>609</v>
      </c>
      <c r="P7" s="247" t="s">
        <v>607</v>
      </c>
      <c r="Q7" s="496" t="s">
        <v>604</v>
      </c>
      <c r="R7" s="247" t="s">
        <v>600</v>
      </c>
      <c r="S7" s="247" t="s">
        <v>594</v>
      </c>
      <c r="T7" s="246"/>
      <c r="U7" s="247" t="s">
        <v>420</v>
      </c>
      <c r="V7" s="247" t="s">
        <v>417</v>
      </c>
      <c r="W7" s="247" t="s">
        <v>6</v>
      </c>
      <c r="X7" s="247" t="s">
        <v>7</v>
      </c>
      <c r="Y7" s="247" t="s">
        <v>8</v>
      </c>
      <c r="Z7" s="247" t="s">
        <v>9</v>
      </c>
      <c r="AA7" s="247" t="s">
        <v>10</v>
      </c>
      <c r="AB7" s="247" t="s">
        <v>11</v>
      </c>
      <c r="AC7" s="247" t="s">
        <v>12</v>
      </c>
      <c r="AD7" s="247" t="s">
        <v>13</v>
      </c>
      <c r="AE7" s="247" t="s">
        <v>14</v>
      </c>
      <c r="AF7" s="247" t="s">
        <v>15</v>
      </c>
      <c r="AG7" s="246"/>
      <c r="AH7" s="247" t="s">
        <v>16</v>
      </c>
      <c r="AI7" s="247" t="s">
        <v>17</v>
      </c>
      <c r="AJ7" s="247" t="s">
        <v>18</v>
      </c>
      <c r="AK7" s="247" t="s">
        <v>19</v>
      </c>
      <c r="AL7" s="247" t="s">
        <v>20</v>
      </c>
      <c r="AM7" s="247" t="s">
        <v>21</v>
      </c>
      <c r="AN7" s="247" t="s">
        <v>22</v>
      </c>
      <c r="AO7" s="247" t="s">
        <v>23</v>
      </c>
      <c r="AP7" s="247" t="s">
        <v>24</v>
      </c>
      <c r="AQ7" s="247" t="s">
        <v>25</v>
      </c>
      <c r="AR7" s="247" t="s">
        <v>26</v>
      </c>
      <c r="AS7" s="247" t="s">
        <v>27</v>
      </c>
      <c r="AT7" s="246"/>
      <c r="AU7" s="247" t="s">
        <v>28</v>
      </c>
      <c r="AV7" s="247" t="s">
        <v>29</v>
      </c>
      <c r="AW7" s="247" t="s">
        <v>30</v>
      </c>
      <c r="AX7" s="247" t="s">
        <v>31</v>
      </c>
      <c r="AY7" s="247" t="s">
        <v>32</v>
      </c>
      <c r="AZ7" s="247" t="s">
        <v>33</v>
      </c>
      <c r="BA7" s="247" t="s">
        <v>34</v>
      </c>
      <c r="BB7" s="247" t="s">
        <v>35</v>
      </c>
      <c r="BC7" s="247" t="s">
        <v>36</v>
      </c>
      <c r="BD7" s="247" t="s">
        <v>37</v>
      </c>
      <c r="BE7" s="247" t="s">
        <v>38</v>
      </c>
      <c r="BF7" s="247" t="s">
        <v>39</v>
      </c>
      <c r="BH7" s="247" t="s">
        <v>40</v>
      </c>
      <c r="BI7" s="247" t="s">
        <v>41</v>
      </c>
      <c r="BJ7" s="247" t="s">
        <v>42</v>
      </c>
      <c r="BK7" s="247" t="s">
        <v>43</v>
      </c>
      <c r="BL7" s="247" t="s">
        <v>44</v>
      </c>
      <c r="BM7" s="247" t="s">
        <v>45</v>
      </c>
      <c r="BN7" s="246"/>
      <c r="BO7" s="247" t="s">
        <v>46</v>
      </c>
    </row>
    <row r="8" spans="2:67" ht="13.5" customHeight="1">
      <c r="B8" s="194"/>
      <c r="C8" s="248"/>
      <c r="D8" s="230"/>
      <c r="E8" s="230"/>
      <c r="F8" s="249"/>
      <c r="G8" s="230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30"/>
      <c r="U8" s="249"/>
      <c r="V8" s="249"/>
      <c r="W8" s="249"/>
      <c r="X8" s="249"/>
      <c r="Y8" s="249"/>
      <c r="Z8" s="249"/>
      <c r="AA8" s="249"/>
      <c r="AB8" s="249"/>
      <c r="AC8" s="249"/>
      <c r="AD8" s="249"/>
      <c r="AE8" s="249"/>
      <c r="AF8" s="249"/>
      <c r="AG8" s="230"/>
      <c r="AH8" s="249"/>
      <c r="AI8" s="249"/>
      <c r="AJ8" s="249"/>
      <c r="AK8" s="249"/>
      <c r="AL8" s="249"/>
      <c r="AM8" s="249"/>
      <c r="AN8" s="249"/>
      <c r="AO8" s="249"/>
      <c r="AP8" s="249"/>
      <c r="AQ8" s="249"/>
      <c r="AR8" s="249"/>
      <c r="AS8" s="249"/>
      <c r="AT8" s="249"/>
      <c r="AU8" s="249"/>
      <c r="AV8" s="249"/>
      <c r="AW8" s="249"/>
      <c r="AX8" s="249"/>
      <c r="AY8" s="249"/>
      <c r="AZ8" s="249"/>
      <c r="BA8" s="249"/>
      <c r="BB8" s="249"/>
      <c r="BC8" s="249"/>
      <c r="BD8" s="249"/>
      <c r="BE8" s="249"/>
      <c r="BF8" s="249"/>
      <c r="BH8" s="249"/>
      <c r="BI8" s="249"/>
      <c r="BJ8" s="249"/>
      <c r="BK8" s="249"/>
      <c r="BL8" s="249"/>
      <c r="BM8" s="249"/>
      <c r="BN8" s="230"/>
      <c r="BO8" s="249"/>
    </row>
    <row r="9" spans="2:67">
      <c r="B9" s="194" t="s">
        <v>47</v>
      </c>
      <c r="C9" s="248"/>
      <c r="D9" s="230"/>
      <c r="E9" s="230"/>
      <c r="F9" s="249"/>
      <c r="G9" s="230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30"/>
      <c r="U9" s="249"/>
      <c r="V9" s="249"/>
      <c r="W9" s="249"/>
      <c r="X9" s="249"/>
      <c r="Y9" s="249"/>
      <c r="Z9" s="249"/>
      <c r="AA9" s="249"/>
      <c r="AB9" s="249"/>
      <c r="AC9" s="249"/>
      <c r="AD9" s="249"/>
      <c r="AE9" s="249"/>
      <c r="AF9" s="249"/>
      <c r="AG9" s="230"/>
      <c r="AH9" s="249"/>
      <c r="AI9" s="249"/>
      <c r="AJ9" s="249"/>
      <c r="AK9" s="249"/>
      <c r="AL9" s="249"/>
      <c r="AM9" s="249"/>
      <c r="AN9" s="249"/>
      <c r="AO9" s="249"/>
      <c r="AP9" s="249"/>
      <c r="AQ9" s="249"/>
      <c r="AR9" s="249"/>
      <c r="AS9" s="249"/>
      <c r="AT9" s="249"/>
      <c r="AU9" s="249"/>
      <c r="AV9" s="249"/>
      <c r="AW9" s="249"/>
      <c r="AX9" s="249"/>
      <c r="AY9" s="249"/>
      <c r="AZ9" s="249"/>
      <c r="BA9" s="249"/>
      <c r="BB9" s="249"/>
      <c r="BC9" s="249"/>
      <c r="BD9" s="249"/>
      <c r="BE9" s="249"/>
      <c r="BF9" s="249"/>
      <c r="BH9" s="249"/>
      <c r="BI9" s="249"/>
      <c r="BJ9" s="249"/>
      <c r="BK9" s="249"/>
      <c r="BL9" s="249"/>
      <c r="BM9" s="249"/>
      <c r="BN9" s="230"/>
      <c r="BO9" s="249"/>
    </row>
    <row r="10" spans="2:67" ht="15">
      <c r="B10" s="192" t="s">
        <v>48</v>
      </c>
      <c r="C10" s="248"/>
      <c r="D10" s="250">
        <v>4</v>
      </c>
      <c r="E10" s="251"/>
      <c r="F10" s="249">
        <f>+'NOTAS ESF'!B10</f>
        <v>26352599.12252</v>
      </c>
      <c r="G10" s="251"/>
      <c r="H10" s="249">
        <f>+'NOTAS ESF'!D10</f>
        <v>65794723.12252</v>
      </c>
      <c r="I10" s="249">
        <f>+'NOTAS ESF'!E10</f>
        <v>29244298.12252003</v>
      </c>
      <c r="J10" s="249">
        <f>+'NOTAS ESF'!F10</f>
        <v>21098136.122520044</v>
      </c>
      <c r="K10" s="249">
        <f>+'NOTAS ESF'!G10</f>
        <v>14529916.122520041</v>
      </c>
      <c r="L10" s="249">
        <f>+'NOTAS ESF'!H10</f>
        <v>10355964.12252005</v>
      </c>
      <c r="M10" s="249">
        <f>+'NOTAS ESF'!I10</f>
        <v>11927408.45252005</v>
      </c>
      <c r="N10" s="249">
        <f>+'NOTAS ESF'!J10</f>
        <v>5739207.4525200501</v>
      </c>
      <c r="O10" s="249">
        <f>+'NOTAS ESF'!K10</f>
        <v>16777658.452520043</v>
      </c>
      <c r="P10" s="249">
        <f>+'NOTAS ESF'!L10</f>
        <v>19995742.365520049</v>
      </c>
      <c r="Q10" s="249">
        <f>+'NOTAS ESF'!M10</f>
        <v>5586641.3655200498</v>
      </c>
      <c r="R10" s="249">
        <f>+'NOTAS ESF'!N10</f>
        <v>5714391.8755200701</v>
      </c>
      <c r="S10" s="249">
        <f>+'NOTAS ESF'!O10</f>
        <v>7199659.8755200608</v>
      </c>
      <c r="T10" s="251"/>
      <c r="U10" s="249">
        <f>+'NOTAS ESF'!Q10</f>
        <v>5382680.7000000002</v>
      </c>
      <c r="V10" s="249">
        <f>+'NOTAS ESF'!R10</f>
        <v>5032561</v>
      </c>
      <c r="W10" s="249">
        <f>+'NOTAS ESF'!S10</f>
        <v>4883116.84</v>
      </c>
      <c r="X10" s="249">
        <f>+'NOTAS ESF'!T10</f>
        <v>4072200.84</v>
      </c>
      <c r="Y10" s="249">
        <f>+'NOTAS ESF'!U10</f>
        <v>-4649353.1244799402</v>
      </c>
      <c r="Z10" s="249">
        <f>+'NOTAS ESF'!V10</f>
        <v>-5795604.9400000004</v>
      </c>
      <c r="AA10" s="249">
        <f>+'NOTAS ESF'!W10</f>
        <v>-3994354.14</v>
      </c>
      <c r="AB10" s="249">
        <f>+'NOTAS ESF'!X10</f>
        <v>-1573955.3</v>
      </c>
      <c r="AC10" s="249">
        <f>+'NOTAS ESF'!Y10</f>
        <v>1447407.840000004</v>
      </c>
      <c r="AD10" s="249">
        <f>+'NOTAS ESF'!Z10</f>
        <v>1217814.840000004</v>
      </c>
      <c r="AE10" s="249">
        <f>+'NOTAS ESF'!AA10</f>
        <v>6356103.9135200493</v>
      </c>
      <c r="AF10" s="249">
        <f>+'NOTAS ESF'!AB10</f>
        <v>6342950.9135200493</v>
      </c>
      <c r="AG10" s="251"/>
      <c r="AH10" s="249">
        <f>+'NOTAS ESF'!AD10</f>
        <v>1846377.443999998</v>
      </c>
      <c r="AI10" s="249">
        <f>+'NOTAS ESF'!AE10</f>
        <v>-16503757.111831998</v>
      </c>
      <c r="AJ10" s="249">
        <f>+'NOTAS ESF'!AF10</f>
        <v>-15088454.171831999</v>
      </c>
      <c r="AK10" s="249">
        <f>+'NOTAS ESF'!AG10</f>
        <v>-16610194.115831999</v>
      </c>
      <c r="AL10" s="249">
        <f>+'NOTAS ESF'!AH10</f>
        <v>-16113341.855831997</v>
      </c>
      <c r="AM10" s="249">
        <f>+'NOTAS ESF'!AI10</f>
        <v>-13926093.385832001</v>
      </c>
      <c r="AN10" s="249">
        <f>+'NOTAS ESF'!AJ10</f>
        <v>-15129335.38648</v>
      </c>
      <c r="AO10" s="249">
        <f>+'NOTAS ESF'!AK10</f>
        <v>-12473353.746479999</v>
      </c>
      <c r="AP10" s="249">
        <f>+'NOTAS ESF'!AL10</f>
        <v>-12184191.356480001</v>
      </c>
      <c r="AQ10" s="249">
        <f>+'NOTAS ESF'!AM10</f>
        <v>-3327424.6564799994</v>
      </c>
      <c r="AR10" s="249">
        <f>+'NOTAS ESF'!AN10</f>
        <v>-7836192.3164799996</v>
      </c>
      <c r="AS10" s="249">
        <f>+'NOTAS ESF'!AO10</f>
        <v>-4863415.2664799998</v>
      </c>
      <c r="AT10" s="249"/>
      <c r="AU10" s="249">
        <f>+'NOTAS ESF'!AQ10</f>
        <v>3821900.1522799949</v>
      </c>
      <c r="AV10" s="249">
        <f>+'NOTAS ESF'!AR10</f>
        <v>89923</v>
      </c>
      <c r="AW10" s="249">
        <f>+'NOTAS ESF'!AS10</f>
        <v>3267146</v>
      </c>
      <c r="AX10" s="249">
        <f>+'NOTAS ESF'!AT10</f>
        <v>1261066</v>
      </c>
      <c r="AY10" s="249">
        <f>+'NOTAS ESF'!AU10</f>
        <v>102040</v>
      </c>
      <c r="AZ10" s="249">
        <f>+'NOTAS ESF'!AV10</f>
        <v>0</v>
      </c>
      <c r="BA10" s="249">
        <f>+'NOTAS ESF'!AW10</f>
        <v>0</v>
      </c>
      <c r="BB10" s="249">
        <f>+'NOTAS ESF'!AX10</f>
        <v>0</v>
      </c>
      <c r="BC10" s="249">
        <f>+'NOTAS ESF'!AY10</f>
        <v>0</v>
      </c>
      <c r="BD10" s="249">
        <f>+'NOTAS ESF'!AZ10</f>
        <v>0</v>
      </c>
      <c r="BE10" s="249">
        <f>+'NOTAS ESF'!BA10</f>
        <v>0</v>
      </c>
      <c r="BF10" s="249">
        <f>+'NOTAS ESF'!BB10</f>
        <v>0</v>
      </c>
      <c r="BH10" s="249">
        <f>+'NOTAS ESF'!BD10</f>
        <v>15221800.1606667</v>
      </c>
      <c r="BI10" s="249">
        <f>+'NOTAS ESF'!BE10</f>
        <v>0</v>
      </c>
      <c r="BJ10" s="249">
        <f>+'NOTAS ESF'!BF10</f>
        <v>0</v>
      </c>
      <c r="BK10" s="249">
        <f>+'NOTAS ESF'!BG10</f>
        <v>0</v>
      </c>
      <c r="BL10" s="249">
        <f>+'NOTAS ESF'!BH10</f>
        <v>0</v>
      </c>
      <c r="BM10" s="249">
        <f>+'NOTAS ESF'!BI10</f>
        <v>0</v>
      </c>
      <c r="BN10" s="251"/>
      <c r="BO10" s="249">
        <f>+'NOTAS ESF'!BK10</f>
        <v>2000000</v>
      </c>
    </row>
    <row r="11" spans="2:67" ht="15">
      <c r="B11" s="192" t="s">
        <v>49</v>
      </c>
      <c r="C11" s="248"/>
      <c r="D11" s="250">
        <v>5</v>
      </c>
      <c r="E11" s="252"/>
      <c r="F11" s="252">
        <f>+'NOTAS ESF'!B14</f>
        <v>60550557.693999998</v>
      </c>
      <c r="G11" s="251"/>
      <c r="H11" s="252">
        <f>+'NOTAS ESF'!D14</f>
        <v>26355625.693999998</v>
      </c>
      <c r="I11" s="252">
        <f>+'NOTAS ESF'!E14</f>
        <v>63694676.693999998</v>
      </c>
      <c r="J11" s="252">
        <f>+'NOTAS ESF'!F14</f>
        <v>46536960.693999998</v>
      </c>
      <c r="K11" s="252">
        <f>+'NOTAS ESF'!G14</f>
        <v>53380638.693999998</v>
      </c>
      <c r="L11" s="252">
        <f>+'NOTAS ESF'!H14</f>
        <v>39619795.693999998</v>
      </c>
      <c r="M11" s="252">
        <f>+'NOTAS ESF'!I14</f>
        <v>35652592.693999998</v>
      </c>
      <c r="N11" s="252">
        <f>+'NOTAS ESF'!J14</f>
        <v>33989754.693999998</v>
      </c>
      <c r="O11" s="252">
        <f>+'NOTAS ESF'!K14</f>
        <v>31431871.693999998</v>
      </c>
      <c r="P11" s="252">
        <f>+'NOTAS ESF'!L14</f>
        <v>37114874.693999998</v>
      </c>
      <c r="Q11" s="252">
        <f>+'NOTAS ESF'!M14</f>
        <v>61187666.693999998</v>
      </c>
      <c r="R11" s="252">
        <f>+'NOTAS ESF'!N14</f>
        <v>33658110.693999998</v>
      </c>
      <c r="S11" s="252">
        <f>+'NOTAS ESF'!O14</f>
        <v>8143514.6940000001</v>
      </c>
      <c r="T11" s="251"/>
      <c r="U11" s="252">
        <f>+'NOTAS ESF'!Q14</f>
        <v>15258879.119520055</v>
      </c>
      <c r="V11" s="252">
        <f>+'NOTAS ESF'!R14</f>
        <v>14415868.819520058</v>
      </c>
      <c r="W11" s="252">
        <f>+'NOTAS ESF'!S14</f>
        <v>14986889.979520055</v>
      </c>
      <c r="X11" s="252">
        <f>+'NOTAS ESF'!T14</f>
        <v>23162179.97952006</v>
      </c>
      <c r="Y11" s="252">
        <f>+'NOTAS ESF'!U14</f>
        <v>28904092.693999998</v>
      </c>
      <c r="Z11" s="252">
        <f>+'NOTAS ESF'!V14</f>
        <v>29247382.509520061</v>
      </c>
      <c r="AA11" s="252">
        <f>+'NOTAS ESF'!W14</f>
        <v>25029312.869520053</v>
      </c>
      <c r="AB11" s="252">
        <f>+'NOTAS ESF'!X14</f>
        <v>33443093.02952005</v>
      </c>
      <c r="AC11" s="252">
        <f>+'NOTAS ESF'!Y14</f>
        <v>27239896.073520049</v>
      </c>
      <c r="AD11" s="252">
        <f>+'NOTAS ESF'!Z14</f>
        <v>33545736.073520049</v>
      </c>
      <c r="AE11" s="252">
        <f>+'NOTAS ESF'!AA14</f>
        <v>23587056</v>
      </c>
      <c r="AF11" s="252">
        <f>+'NOTAS ESF'!AB14</f>
        <v>21982196</v>
      </c>
      <c r="AG11" s="252"/>
      <c r="AH11" s="252">
        <f>+'NOTAS ESF'!AD14</f>
        <v>20841140.306000002</v>
      </c>
      <c r="AI11" s="252">
        <f>+'NOTAS ESF'!AE14</f>
        <v>4765667.3059999999</v>
      </c>
      <c r="AJ11" s="252">
        <f>+'NOTAS ESF'!AF14</f>
        <v>4380307.3059999999</v>
      </c>
      <c r="AK11" s="252">
        <f>+'NOTAS ESF'!AG14</f>
        <v>3878887.6529999999</v>
      </c>
      <c r="AL11" s="252">
        <f>+'NOTAS ESF'!AH14</f>
        <v>3706628</v>
      </c>
      <c r="AM11" s="252">
        <f>+'NOTAS ESF'!AI14</f>
        <v>3427628</v>
      </c>
      <c r="AN11" s="252">
        <f>+'NOTAS ESF'!AJ14</f>
        <v>3133668</v>
      </c>
      <c r="AO11" s="252">
        <f>+'NOTAS ESF'!AK14</f>
        <v>2794188</v>
      </c>
      <c r="AP11" s="252">
        <f>+'NOTAS ESF'!AL14</f>
        <v>2292848</v>
      </c>
      <c r="AQ11" s="252">
        <f>+'NOTAS ESF'!AM14</f>
        <v>1903095</v>
      </c>
      <c r="AR11" s="252">
        <f>+'NOTAS ESF'!AN14</f>
        <v>1850935</v>
      </c>
      <c r="AS11" s="252">
        <f>+'NOTAS ESF'!AO14</f>
        <v>1765095</v>
      </c>
      <c r="AT11" s="252">
        <f>+'NOTAS ESF'!AP14</f>
        <v>0</v>
      </c>
      <c r="AU11" s="252">
        <f>+'NOTAS ESF'!AQ14</f>
        <v>2543848</v>
      </c>
      <c r="AV11" s="252">
        <f>+'NOTAS ESF'!AR14</f>
        <v>797739</v>
      </c>
      <c r="AW11" s="252">
        <f>+'NOTAS ESF'!AS14</f>
        <v>36875344.829999998</v>
      </c>
      <c r="AX11" s="252">
        <f>+'NOTAS ESF'!AT14</f>
        <v>52823724.829999998</v>
      </c>
      <c r="AY11" s="252">
        <f>+'NOTAS ESF'!AU14</f>
        <v>31077778.259999998</v>
      </c>
      <c r="AZ11" s="252">
        <f>+'NOTAS ESF'!AV14</f>
        <v>17206088.609999999</v>
      </c>
      <c r="BA11" s="252">
        <f>+'NOTAS ESF'!AW14</f>
        <v>17206088.609999999</v>
      </c>
      <c r="BB11" s="252">
        <f>+'NOTAS ESF'!AX14</f>
        <v>17206088.609999999</v>
      </c>
      <c r="BC11" s="252">
        <f>+'NOTAS ESF'!AY14</f>
        <v>17806260.609999999</v>
      </c>
      <c r="BD11" s="252">
        <f>+'NOTAS ESF'!AZ14</f>
        <v>16011510.609999999</v>
      </c>
      <c r="BE11" s="252">
        <f>+'NOTAS ESF'!BA14</f>
        <v>12884588</v>
      </c>
      <c r="BF11" s="252">
        <f>+'NOTAS ESF'!BB14</f>
        <v>11686588</v>
      </c>
      <c r="BG11" s="252">
        <f>+'NOTAS ESF'!BC14</f>
        <v>0</v>
      </c>
      <c r="BH11" s="252">
        <f>+'NOTAS ESF'!BD14</f>
        <v>501588</v>
      </c>
      <c r="BI11" s="252">
        <f>+'NOTAS ESF'!BE14</f>
        <v>0</v>
      </c>
      <c r="BJ11" s="252">
        <f>+'NOTAS ESF'!BF14</f>
        <v>0</v>
      </c>
      <c r="BK11" s="252">
        <f>+'NOTAS ESF'!BG14</f>
        <v>0</v>
      </c>
      <c r="BL11" s="252">
        <f>+'NOTAS ESF'!BH14</f>
        <v>0</v>
      </c>
      <c r="BM11" s="252">
        <f>+'NOTAS ESF'!BI14</f>
        <v>0</v>
      </c>
      <c r="BN11" s="251"/>
      <c r="BO11" s="252">
        <f>+'NOTAS ESF'!BK14</f>
        <v>0</v>
      </c>
    </row>
    <row r="12" spans="2:67">
      <c r="B12" s="253" t="s">
        <v>50</v>
      </c>
      <c r="C12" s="254"/>
      <c r="D12" s="230"/>
      <c r="E12" s="230"/>
      <c r="F12" s="255">
        <f t="shared" ref="F12:H12" si="0">SUM(F10:F11)</f>
        <v>86903156.816520005</v>
      </c>
      <c r="G12" s="230"/>
      <c r="H12" s="255">
        <f t="shared" si="0"/>
        <v>92150348.816520005</v>
      </c>
      <c r="I12" s="255">
        <f t="shared" ref="I12:J12" si="1">SUM(I10:I11)</f>
        <v>92938974.816520035</v>
      </c>
      <c r="J12" s="255">
        <f t="shared" si="1"/>
        <v>67635096.816520035</v>
      </c>
      <c r="K12" s="255">
        <f t="shared" ref="K12:L12" si="2">SUM(K10:K11)</f>
        <v>67910554.816520035</v>
      </c>
      <c r="L12" s="255">
        <f t="shared" si="2"/>
        <v>49975759.81652005</v>
      </c>
      <c r="M12" s="255">
        <f t="shared" ref="M12:S12" si="3">SUM(M10:M11)</f>
        <v>47580001.146520048</v>
      </c>
      <c r="N12" s="255">
        <f t="shared" si="3"/>
        <v>39728962.146520048</v>
      </c>
      <c r="O12" s="255">
        <f t="shared" si="3"/>
        <v>48209530.146520041</v>
      </c>
      <c r="P12" s="255">
        <f t="shared" si="3"/>
        <v>57110617.059520051</v>
      </c>
      <c r="Q12" s="255">
        <f t="shared" si="3"/>
        <v>66774308.059520051</v>
      </c>
      <c r="R12" s="255">
        <f t="shared" si="3"/>
        <v>39372502.569520071</v>
      </c>
      <c r="S12" s="255">
        <f t="shared" si="3"/>
        <v>15343174.56952006</v>
      </c>
      <c r="T12" s="230"/>
      <c r="U12" s="255">
        <f>SUM(U10:U11)</f>
        <v>20641559.819520056</v>
      </c>
      <c r="V12" s="255">
        <f>SUM(V10:V11)</f>
        <v>19448429.819520056</v>
      </c>
      <c r="W12" s="255">
        <f>SUM(W10:W11)</f>
        <v>19870006.819520056</v>
      </c>
      <c r="X12" s="255">
        <f>SUM(X10:X11)</f>
        <v>27234380.81952006</v>
      </c>
      <c r="Y12" s="255">
        <f t="shared" ref="Y12" si="4">SUM(Y10:Y11)</f>
        <v>24254739.569520056</v>
      </c>
      <c r="Z12" s="255">
        <f t="shared" ref="Z12:AA12" si="5">SUM(Z10:Z11)</f>
        <v>23451777.56952006</v>
      </c>
      <c r="AA12" s="255">
        <f t="shared" si="5"/>
        <v>21034958.729520053</v>
      </c>
      <c r="AB12" s="255">
        <f t="shared" ref="AB12" si="6">SUM(AB10:AB11)</f>
        <v>31869137.729520049</v>
      </c>
      <c r="AC12" s="255">
        <f t="shared" ref="AC12" si="7">SUM(AC10:AC11)</f>
        <v>28687303.913520053</v>
      </c>
      <c r="AD12" s="255">
        <f t="shared" ref="AD12" si="8">SUM(AD10:AD11)</f>
        <v>34763550.913520053</v>
      </c>
      <c r="AE12" s="255">
        <f t="shared" ref="AE12" si="9">SUM(AE10:AE11)</f>
        <v>29943159.913520049</v>
      </c>
      <c r="AF12" s="255">
        <f t="shared" ref="AF12" si="10">SUM(AF10:AF11)</f>
        <v>28325146.913520049</v>
      </c>
      <c r="AG12" s="230"/>
      <c r="AH12" s="255">
        <f t="shared" ref="AH12:AI12" si="11">SUM(AH10:AH11)</f>
        <v>22687517.75</v>
      </c>
      <c r="AI12" s="255">
        <f t="shared" si="11"/>
        <v>-11738089.805831999</v>
      </c>
      <c r="AJ12" s="255">
        <f t="shared" ref="AJ12:AK12" si="12">SUM(AJ10:AJ11)</f>
        <v>-10708146.865831999</v>
      </c>
      <c r="AK12" s="255">
        <f t="shared" si="12"/>
        <v>-12731306.462832</v>
      </c>
      <c r="AL12" s="255">
        <f t="shared" ref="AL12:AM12" si="13">SUM(AL10:AL11)</f>
        <v>-12406713.855831997</v>
      </c>
      <c r="AM12" s="255">
        <f t="shared" si="13"/>
        <v>-10498465.385832001</v>
      </c>
      <c r="AN12" s="255">
        <f t="shared" ref="AN12:AO12" si="14">SUM(AN10:AN11)</f>
        <v>-11995667.38648</v>
      </c>
      <c r="AO12" s="255">
        <f t="shared" si="14"/>
        <v>-9679165.7464799993</v>
      </c>
      <c r="AP12" s="255">
        <f t="shared" ref="AP12:AQ12" si="15">SUM(AP10:AP11)</f>
        <v>-9891343.3564800005</v>
      </c>
      <c r="AQ12" s="255">
        <f t="shared" si="15"/>
        <v>-1424329.6564799994</v>
      </c>
      <c r="AR12" s="255">
        <f t="shared" ref="AR12:AS12" si="16">SUM(AR10:AR11)</f>
        <v>-5985257.3164799996</v>
      </c>
      <c r="AS12" s="255">
        <f t="shared" si="16"/>
        <v>-3098320.2664799998</v>
      </c>
      <c r="AT12" s="300"/>
      <c r="AU12" s="255">
        <f t="shared" ref="AU12:AV12" si="17">SUM(AU10:AU11)</f>
        <v>6365748.1522799954</v>
      </c>
      <c r="AV12" s="255">
        <f t="shared" si="17"/>
        <v>887662</v>
      </c>
      <c r="AW12" s="255">
        <f t="shared" ref="AW12:AX12" si="18">SUM(AW10:AW11)</f>
        <v>40142490.829999998</v>
      </c>
      <c r="AX12" s="255">
        <f t="shared" si="18"/>
        <v>54084790.829999998</v>
      </c>
      <c r="AY12" s="255">
        <f t="shared" ref="AY12:AZ12" si="19">SUM(AY10:AY11)</f>
        <v>31179818.259999998</v>
      </c>
      <c r="AZ12" s="255">
        <f t="shared" si="19"/>
        <v>17206088.609999999</v>
      </c>
      <c r="BA12" s="255">
        <f t="shared" ref="BA12:BB12" si="20">SUM(BA10:BA11)</f>
        <v>17206088.609999999</v>
      </c>
      <c r="BB12" s="255">
        <f t="shared" si="20"/>
        <v>17206088.609999999</v>
      </c>
      <c r="BC12" s="255">
        <f t="shared" ref="BC12:BD12" si="21">SUM(BC10:BC11)</f>
        <v>17806260.609999999</v>
      </c>
      <c r="BD12" s="255">
        <f t="shared" si="21"/>
        <v>16011510.609999999</v>
      </c>
      <c r="BE12" s="255">
        <f t="shared" ref="BE12:BF12" si="22">SUM(BE10:BE11)</f>
        <v>12884588</v>
      </c>
      <c r="BF12" s="255">
        <f t="shared" si="22"/>
        <v>11686588</v>
      </c>
      <c r="BH12" s="255">
        <f t="shared" ref="BH12:BI12" si="23">SUM(BH10:BH11)</f>
        <v>15723388.1606667</v>
      </c>
      <c r="BI12" s="255">
        <f t="shared" si="23"/>
        <v>0</v>
      </c>
      <c r="BJ12" s="255">
        <f t="shared" ref="BJ12:BK12" si="24">SUM(BJ10:BJ11)</f>
        <v>0</v>
      </c>
      <c r="BK12" s="255">
        <f t="shared" si="24"/>
        <v>0</v>
      </c>
      <c r="BL12" s="255">
        <f t="shared" ref="BL12:BM12" si="25">SUM(BL10:BL11)</f>
        <v>0</v>
      </c>
      <c r="BM12" s="255">
        <f t="shared" si="25"/>
        <v>0</v>
      </c>
      <c r="BN12" s="230"/>
      <c r="BO12" s="255">
        <f>SUM(BO10:BO11)</f>
        <v>2000000</v>
      </c>
    </row>
    <row r="13" spans="2:67">
      <c r="B13" s="194"/>
      <c r="C13" s="248"/>
      <c r="D13" s="230"/>
      <c r="E13" s="230"/>
      <c r="F13" s="256"/>
      <c r="G13" s="230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30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30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49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H13" s="256"/>
      <c r="BI13" s="256"/>
      <c r="BJ13" s="256"/>
      <c r="BK13" s="256"/>
      <c r="BL13" s="256"/>
      <c r="BM13" s="256"/>
      <c r="BN13" s="230"/>
      <c r="BO13" s="256"/>
    </row>
    <row r="14" spans="2:67">
      <c r="B14" s="194" t="s">
        <v>51</v>
      </c>
      <c r="C14" s="248"/>
      <c r="D14" s="230"/>
      <c r="E14" s="230"/>
      <c r="F14" s="249"/>
      <c r="G14" s="230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30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249"/>
      <c r="AF14" s="249"/>
      <c r="AG14" s="230"/>
      <c r="AH14" s="249"/>
      <c r="AI14" s="249"/>
      <c r="AJ14" s="249"/>
      <c r="AK14" s="249"/>
      <c r="AL14" s="249"/>
      <c r="AM14" s="249"/>
      <c r="AN14" s="249"/>
      <c r="AO14" s="249"/>
      <c r="AP14" s="249"/>
      <c r="AQ14" s="249"/>
      <c r="AR14" s="249"/>
      <c r="AS14" s="249"/>
      <c r="AT14" s="249"/>
      <c r="AU14" s="249"/>
      <c r="AV14" s="249"/>
      <c r="AW14" s="249"/>
      <c r="AX14" s="249"/>
      <c r="AY14" s="249"/>
      <c r="AZ14" s="249"/>
      <c r="BA14" s="249"/>
      <c r="BB14" s="249"/>
      <c r="BC14" s="249"/>
      <c r="BD14" s="249"/>
      <c r="BE14" s="249"/>
      <c r="BF14" s="249"/>
      <c r="BH14" s="249"/>
      <c r="BI14" s="249"/>
      <c r="BJ14" s="249"/>
      <c r="BK14" s="249"/>
      <c r="BL14" s="249"/>
      <c r="BM14" s="249"/>
      <c r="BN14" s="230"/>
      <c r="BO14" s="249"/>
    </row>
    <row r="15" spans="2:67" ht="15">
      <c r="B15" s="192" t="s">
        <v>52</v>
      </c>
      <c r="C15" s="248"/>
      <c r="D15" s="250">
        <v>6</v>
      </c>
      <c r="E15" s="251"/>
      <c r="F15" s="249">
        <f>+'NOTAS ESF'!B61</f>
        <v>17386530</v>
      </c>
      <c r="G15" s="251"/>
      <c r="H15" s="249">
        <f>+'NOTAS ESF'!D61</f>
        <v>17386530</v>
      </c>
      <c r="I15" s="249">
        <f>+'NOTAS ESF'!E61</f>
        <v>17386530</v>
      </c>
      <c r="J15" s="249">
        <f>+'NOTAS ESF'!F61</f>
        <v>17386530</v>
      </c>
      <c r="K15" s="249">
        <f>+'NOTAS ESF'!G61</f>
        <v>17386530</v>
      </c>
      <c r="L15" s="249">
        <f>+'NOTAS ESF'!H61</f>
        <v>17386530</v>
      </c>
      <c r="M15" s="249">
        <f>+'NOTAS ESF'!I61</f>
        <v>17386530</v>
      </c>
      <c r="N15" s="249">
        <f>+'NOTAS ESF'!J61</f>
        <v>17386530</v>
      </c>
      <c r="O15" s="249">
        <f>+'NOTAS ESF'!K61</f>
        <v>17386530</v>
      </c>
      <c r="P15" s="249">
        <f>+'NOTAS ESF'!L61</f>
        <v>17386530</v>
      </c>
      <c r="Q15" s="249">
        <f>+'NOTAS ESF'!M61</f>
        <v>17386530</v>
      </c>
      <c r="R15" s="249">
        <f>+'NOTAS ESF'!N61</f>
        <v>17386530</v>
      </c>
      <c r="S15" s="249">
        <f>+'NOTAS ESF'!O61</f>
        <v>17386530</v>
      </c>
      <c r="T15" s="251"/>
      <c r="U15" s="249">
        <f>+'NOTAS ESF'!Q61</f>
        <v>17386530</v>
      </c>
      <c r="V15" s="249">
        <f>+'NOTAS ESF'!R61</f>
        <v>17386530</v>
      </c>
      <c r="W15" s="249">
        <f>+'NOTAS ESF'!S61</f>
        <v>17386530</v>
      </c>
      <c r="X15" s="249">
        <f>+'NOTAS ESF'!T61</f>
        <v>17386530</v>
      </c>
      <c r="Y15" s="249">
        <f>+'NOTAS ESF'!U61</f>
        <v>17386530</v>
      </c>
      <c r="Z15" s="249">
        <f>+'NOTAS ESF'!V61</f>
        <v>17386530</v>
      </c>
      <c r="AA15" s="249">
        <f>+'NOTAS ESF'!W61</f>
        <v>17386530</v>
      </c>
      <c r="AB15" s="249">
        <f>+'NOTAS ESF'!X61</f>
        <v>17386530</v>
      </c>
      <c r="AC15" s="249">
        <f>+'NOTAS ESF'!Y61</f>
        <v>17386530</v>
      </c>
      <c r="AD15" s="249">
        <f>+'NOTAS ESF'!Z61</f>
        <v>17386530</v>
      </c>
      <c r="AE15" s="249">
        <f>+'NOTAS ESF'!AA61</f>
        <v>17386530</v>
      </c>
      <c r="AF15" s="249">
        <f>+'NOTAS ESF'!AB61</f>
        <v>17386530</v>
      </c>
      <c r="AG15" s="251"/>
      <c r="AH15" s="249">
        <f>+'NOTAS ESF'!AD61</f>
        <v>17386530</v>
      </c>
      <c r="AI15" s="249">
        <f>+'NOTAS ESF'!AE61</f>
        <v>13183193</v>
      </c>
      <c r="AJ15" s="249">
        <f>+'NOTAS ESF'!AF61</f>
        <v>13183193</v>
      </c>
      <c r="AK15" s="249">
        <f>+'NOTAS ESF'!AG61</f>
        <v>13183193</v>
      </c>
      <c r="AL15" s="249">
        <f>+'NOTAS ESF'!AH61</f>
        <v>13183193</v>
      </c>
      <c r="AM15" s="249">
        <f>+'NOTAS ESF'!AI61</f>
        <v>13183193</v>
      </c>
      <c r="AN15" s="249">
        <f>+'NOTAS ESF'!AJ61</f>
        <v>13183193</v>
      </c>
      <c r="AO15" s="249">
        <f>+'NOTAS ESF'!AK61</f>
        <v>13183193</v>
      </c>
      <c r="AP15" s="249">
        <f>+'NOTAS ESF'!AL61</f>
        <v>13183193</v>
      </c>
      <c r="AQ15" s="249">
        <f>+'NOTAS ESF'!AM61</f>
        <v>13183193</v>
      </c>
      <c r="AR15" s="249">
        <f>+'NOTAS ESF'!AN61</f>
        <v>13183193</v>
      </c>
      <c r="AS15" s="249">
        <f>+'NOTAS ESF'!AO61</f>
        <v>13183193</v>
      </c>
      <c r="AT15" s="249"/>
      <c r="AU15" s="249">
        <f>+'NOTAS ESF'!AQ61</f>
        <v>13183193</v>
      </c>
      <c r="AV15" s="249">
        <f>+'NOTAS ESF'!AR61</f>
        <v>9640732</v>
      </c>
      <c r="AW15" s="249">
        <f>+'NOTAS ESF'!AS61</f>
        <v>9853785</v>
      </c>
      <c r="AX15" s="249">
        <f>+'NOTAS ESF'!AT61</f>
        <v>10066838</v>
      </c>
      <c r="AY15" s="249">
        <f>+'NOTAS ESF'!AU61</f>
        <v>10279891</v>
      </c>
      <c r="AZ15" s="249">
        <f>+'NOTAS ESF'!AV61</f>
        <v>6892944</v>
      </c>
      <c r="BA15" s="249">
        <f>+'NOTAS ESF'!AW61</f>
        <v>7105997</v>
      </c>
      <c r="BB15" s="249">
        <f>+'NOTAS ESF'!AX61</f>
        <v>7319050</v>
      </c>
      <c r="BC15" s="249">
        <f>+'NOTAS ESF'!AY61</f>
        <v>7532103</v>
      </c>
      <c r="BD15" s="249">
        <f>+'NOTAS ESF'!AZ61</f>
        <v>7745156</v>
      </c>
      <c r="BE15" s="249">
        <f>+'NOTAS ESF'!BA61</f>
        <v>7958209</v>
      </c>
      <c r="BF15" s="249">
        <f>+'NOTAS ESF'!BB61</f>
        <v>8171262</v>
      </c>
      <c r="BH15" s="249">
        <f>+'NOTAS ESF'!BD61</f>
        <v>9583193</v>
      </c>
      <c r="BI15" s="249">
        <f>+'NOTAS ESF'!BE61</f>
        <v>0</v>
      </c>
      <c r="BJ15" s="249">
        <f>+'NOTAS ESF'!BF61</f>
        <v>0</v>
      </c>
      <c r="BK15" s="249">
        <f>+'NOTAS ESF'!BG61</f>
        <v>0</v>
      </c>
      <c r="BL15" s="249">
        <f>+'NOTAS ESF'!BH61</f>
        <v>0</v>
      </c>
      <c r="BM15" s="249">
        <f>+'NOTAS ESF'!BI61</f>
        <v>0</v>
      </c>
      <c r="BN15" s="251"/>
      <c r="BO15" s="249">
        <f>+'NOTAS ESF'!BK61</f>
        <v>0</v>
      </c>
    </row>
    <row r="16" spans="2:67" ht="15">
      <c r="B16" s="192" t="s">
        <v>53</v>
      </c>
      <c r="C16" s="248"/>
      <c r="D16" s="250"/>
      <c r="E16" s="251"/>
      <c r="F16" s="249">
        <f>+'NOTAS ESF'!B69</f>
        <v>36327625</v>
      </c>
      <c r="G16" s="251"/>
      <c r="H16" s="249">
        <f>+'NOTAS ESF'!D69</f>
        <v>36327625</v>
      </c>
      <c r="I16" s="249">
        <f>+'NOTAS ESF'!E69</f>
        <v>36327625</v>
      </c>
      <c r="J16" s="249">
        <f>+'NOTAS ESF'!F69</f>
        <v>36327625</v>
      </c>
      <c r="K16" s="249">
        <f>+'NOTAS ESF'!G69</f>
        <v>36327625</v>
      </c>
      <c r="L16" s="249">
        <f>+'NOTAS ESF'!H69</f>
        <v>36327625</v>
      </c>
      <c r="M16" s="249">
        <f>+'NOTAS ESF'!I69</f>
        <v>36327625</v>
      </c>
      <c r="N16" s="249">
        <f>+'NOTAS ESF'!J69</f>
        <v>36327625</v>
      </c>
      <c r="O16" s="249">
        <f>+'NOTAS ESF'!K69</f>
        <v>36327625</v>
      </c>
      <c r="P16" s="249">
        <f>+'NOTAS ESF'!L69</f>
        <v>36327625</v>
      </c>
      <c r="Q16" s="249">
        <f>+'NOTAS ESF'!M69</f>
        <v>36327625</v>
      </c>
      <c r="R16" s="249">
        <f>+'NOTAS ESF'!N69</f>
        <v>36327625</v>
      </c>
      <c r="S16" s="249">
        <f>+'NOTAS ESF'!O69</f>
        <v>36327625</v>
      </c>
      <c r="T16" s="251"/>
      <c r="U16" s="249">
        <f>+'NOTAS ESF'!Q69</f>
        <v>36327625</v>
      </c>
      <c r="V16" s="249">
        <f>+'NOTAS ESF'!R69</f>
        <v>31808371</v>
      </c>
      <c r="W16" s="249">
        <f>+'NOTAS ESF'!S69</f>
        <v>29238600</v>
      </c>
      <c r="X16" s="249">
        <f>+'NOTAS ESF'!T69</f>
        <v>26656843</v>
      </c>
      <c r="Y16" s="249">
        <f>+'NOTAS ESF'!U69</f>
        <v>24207995</v>
      </c>
      <c r="Z16" s="249">
        <f>+'NOTAS ESF'!V69</f>
        <v>21747921</v>
      </c>
      <c r="AA16" s="249">
        <f>+'NOTAS ESF'!W69</f>
        <v>19339622</v>
      </c>
      <c r="AB16" s="249">
        <f>+'NOTAS ESF'!X69</f>
        <v>14232999</v>
      </c>
      <c r="AC16" s="249">
        <f>+'NOTAS ESF'!Y69</f>
        <v>13215750</v>
      </c>
      <c r="AD16" s="249">
        <f>+'NOTAS ESF'!Z69</f>
        <v>7067100</v>
      </c>
      <c r="AE16" s="249">
        <f>+'NOTAS ESF'!AA69</f>
        <v>5376575</v>
      </c>
      <c r="AF16" s="249">
        <f>+'NOTAS ESF'!AB69</f>
        <v>2715692</v>
      </c>
      <c r="AG16" s="251"/>
      <c r="AH16" s="249">
        <f>+'NOTAS ESF'!AD69</f>
        <v>0</v>
      </c>
      <c r="AI16" s="249" t="e">
        <f>+'NOTAS ESF'!#REF!</f>
        <v>#REF!</v>
      </c>
      <c r="AJ16" s="249" t="e">
        <f>+'NOTAS ESF'!#REF!</f>
        <v>#REF!</v>
      </c>
      <c r="AK16" s="249" t="e">
        <f>+'NOTAS ESF'!#REF!</f>
        <v>#REF!</v>
      </c>
      <c r="AL16" s="249" t="e">
        <f>+'NOTAS ESF'!#REF!</f>
        <v>#REF!</v>
      </c>
      <c r="AM16" s="249" t="e">
        <f>+'NOTAS ESF'!#REF!</f>
        <v>#REF!</v>
      </c>
      <c r="AN16" s="249" t="e">
        <f>+'NOTAS ESF'!#REF!</f>
        <v>#REF!</v>
      </c>
      <c r="AO16" s="249" t="e">
        <f>+'NOTAS ESF'!#REF!</f>
        <v>#REF!</v>
      </c>
      <c r="AP16" s="249" t="e">
        <f>+'NOTAS ESF'!#REF!</f>
        <v>#REF!</v>
      </c>
      <c r="AQ16" s="249" t="e">
        <f>+'NOTAS ESF'!#REF!</f>
        <v>#REF!</v>
      </c>
      <c r="AR16" s="249" t="e">
        <f>+'NOTAS ESF'!#REF!</f>
        <v>#REF!</v>
      </c>
      <c r="AS16" s="249" t="e">
        <f>+'NOTAS ESF'!#REF!</f>
        <v>#REF!</v>
      </c>
      <c r="AT16" s="249"/>
      <c r="AU16" s="249">
        <f>+'NOTAS ESF'!AQ69</f>
        <v>24505488</v>
      </c>
      <c r="AV16" s="249"/>
      <c r="AW16" s="249"/>
      <c r="AX16" s="249"/>
      <c r="AY16" s="249"/>
      <c r="AZ16" s="249"/>
      <c r="BA16" s="249"/>
      <c r="BB16" s="249"/>
      <c r="BC16" s="249"/>
      <c r="BD16" s="249"/>
      <c r="BE16" s="249"/>
      <c r="BF16" s="249"/>
      <c r="BH16" s="249">
        <f>+'NOTAS ESF'!BD69</f>
        <v>0</v>
      </c>
      <c r="BI16" s="249"/>
      <c r="BJ16" s="249"/>
      <c r="BK16" s="249"/>
      <c r="BL16" s="249"/>
      <c r="BM16" s="249"/>
      <c r="BN16" s="251"/>
      <c r="BO16" s="249" t="e">
        <f>+'NOTAS ESF'!#REF!</f>
        <v>#REF!</v>
      </c>
    </row>
    <row r="17" spans="2:67">
      <c r="B17" s="253" t="s">
        <v>50</v>
      </c>
      <c r="C17" s="254"/>
      <c r="D17" s="230"/>
      <c r="E17" s="230"/>
      <c r="F17" s="257">
        <f t="shared" ref="F17:H17" si="26">SUM(F15:F16)</f>
        <v>53714155</v>
      </c>
      <c r="G17" s="230"/>
      <c r="H17" s="257">
        <f t="shared" si="26"/>
        <v>53714155</v>
      </c>
      <c r="I17" s="257">
        <f t="shared" ref="I17:J17" si="27">SUM(I15:I16)</f>
        <v>53714155</v>
      </c>
      <c r="J17" s="257">
        <f t="shared" si="27"/>
        <v>53714155</v>
      </c>
      <c r="K17" s="257">
        <f t="shared" ref="K17:L17" si="28">SUM(K15:K16)</f>
        <v>53714155</v>
      </c>
      <c r="L17" s="257">
        <f t="shared" si="28"/>
        <v>53714155</v>
      </c>
      <c r="M17" s="257">
        <f t="shared" ref="M17:S17" si="29">SUM(M15:M16)</f>
        <v>53714155</v>
      </c>
      <c r="N17" s="257">
        <f t="shared" si="29"/>
        <v>53714155</v>
      </c>
      <c r="O17" s="257">
        <f t="shared" si="29"/>
        <v>53714155</v>
      </c>
      <c r="P17" s="257">
        <f t="shared" si="29"/>
        <v>53714155</v>
      </c>
      <c r="Q17" s="257">
        <f t="shared" si="29"/>
        <v>53714155</v>
      </c>
      <c r="R17" s="257">
        <f t="shared" si="29"/>
        <v>53714155</v>
      </c>
      <c r="S17" s="257">
        <f t="shared" si="29"/>
        <v>53714155</v>
      </c>
      <c r="T17" s="230"/>
      <c r="U17" s="257">
        <f>SUM(U15:U16)</f>
        <v>53714155</v>
      </c>
      <c r="V17" s="257">
        <f>SUM(V15:V16)</f>
        <v>49194901</v>
      </c>
      <c r="W17" s="257">
        <f>SUM(W15:W16)</f>
        <v>46625130</v>
      </c>
      <c r="X17" s="257">
        <f>SUM(X15:X16)</f>
        <v>44043373</v>
      </c>
      <c r="Y17" s="257">
        <f t="shared" ref="Y17" si="30">SUM(Y15:Y16)</f>
        <v>41594525</v>
      </c>
      <c r="Z17" s="257">
        <f t="shared" ref="Z17:AA17" si="31">SUM(Z15:Z16)</f>
        <v>39134451</v>
      </c>
      <c r="AA17" s="257">
        <f t="shared" si="31"/>
        <v>36726152</v>
      </c>
      <c r="AB17" s="257">
        <f t="shared" ref="AB17" si="32">SUM(AB15:AB16)</f>
        <v>31619529</v>
      </c>
      <c r="AC17" s="257">
        <f t="shared" ref="AC17" si="33">SUM(AC15:AC16)</f>
        <v>30602280</v>
      </c>
      <c r="AD17" s="257">
        <f t="shared" ref="AD17" si="34">SUM(AD15:AD16)</f>
        <v>24453630</v>
      </c>
      <c r="AE17" s="257">
        <f t="shared" ref="AE17" si="35">SUM(AE15:AE16)</f>
        <v>22763105</v>
      </c>
      <c r="AF17" s="257">
        <f t="shared" ref="AF17" si="36">SUM(AF15:AF16)</f>
        <v>20102222</v>
      </c>
      <c r="AG17" s="230"/>
      <c r="AH17" s="257">
        <f t="shared" ref="AH17:AI17" si="37">SUM(AH15:AH16)</f>
        <v>17386530</v>
      </c>
      <c r="AI17" s="257" t="e">
        <f t="shared" si="37"/>
        <v>#REF!</v>
      </c>
      <c r="AJ17" s="257" t="e">
        <f t="shared" ref="AJ17:AK17" si="38">SUM(AJ15:AJ16)</f>
        <v>#REF!</v>
      </c>
      <c r="AK17" s="257" t="e">
        <f t="shared" si="38"/>
        <v>#REF!</v>
      </c>
      <c r="AL17" s="257" t="e">
        <f t="shared" ref="AL17:AM17" si="39">SUM(AL15:AL16)</f>
        <v>#REF!</v>
      </c>
      <c r="AM17" s="257" t="e">
        <f t="shared" si="39"/>
        <v>#REF!</v>
      </c>
      <c r="AN17" s="257" t="e">
        <f t="shared" ref="AN17:AS17" si="40">SUM(AN15:AN16)</f>
        <v>#REF!</v>
      </c>
      <c r="AO17" s="257" t="e">
        <f t="shared" si="40"/>
        <v>#REF!</v>
      </c>
      <c r="AP17" s="257" t="e">
        <f t="shared" si="40"/>
        <v>#REF!</v>
      </c>
      <c r="AQ17" s="257" t="e">
        <f t="shared" si="40"/>
        <v>#REF!</v>
      </c>
      <c r="AR17" s="257" t="e">
        <f t="shared" si="40"/>
        <v>#REF!</v>
      </c>
      <c r="AS17" s="257" t="e">
        <f t="shared" si="40"/>
        <v>#REF!</v>
      </c>
      <c r="AT17" s="300"/>
      <c r="AU17" s="257">
        <f>SUM(AU15:AU16)</f>
        <v>37688681</v>
      </c>
      <c r="AV17" s="257">
        <f t="shared" ref="AV17" si="41">SUM(AV15:AV15)</f>
        <v>9640732</v>
      </c>
      <c r="AW17" s="257">
        <f t="shared" ref="AW17:AX17" si="42">SUM(AW15:AW15)</f>
        <v>9853785</v>
      </c>
      <c r="AX17" s="257">
        <f t="shared" si="42"/>
        <v>10066838</v>
      </c>
      <c r="AY17" s="257">
        <f t="shared" ref="AY17:AZ17" si="43">SUM(AY15:AY15)</f>
        <v>10279891</v>
      </c>
      <c r="AZ17" s="257">
        <f t="shared" si="43"/>
        <v>6892944</v>
      </c>
      <c r="BA17" s="257">
        <f t="shared" ref="BA17:BB17" si="44">SUM(BA15:BA15)</f>
        <v>7105997</v>
      </c>
      <c r="BB17" s="257">
        <f t="shared" si="44"/>
        <v>7319050</v>
      </c>
      <c r="BC17" s="257">
        <f t="shared" ref="BC17:BD17" si="45">SUM(BC15:BC15)</f>
        <v>7532103</v>
      </c>
      <c r="BD17" s="257">
        <f t="shared" si="45"/>
        <v>7745156</v>
      </c>
      <c r="BE17" s="257">
        <f t="shared" ref="BE17:BF17" si="46">SUM(BE15:BE15)</f>
        <v>7958209</v>
      </c>
      <c r="BF17" s="257">
        <f t="shared" si="46"/>
        <v>8171262</v>
      </c>
      <c r="BH17" s="257">
        <f t="shared" ref="BH17:BI17" si="47">SUM(BH15:BH15)</f>
        <v>9583193</v>
      </c>
      <c r="BI17" s="257">
        <f t="shared" si="47"/>
        <v>0</v>
      </c>
      <c r="BJ17" s="257">
        <f t="shared" ref="BJ17:BK17" si="48">SUM(BJ15:BJ15)</f>
        <v>0</v>
      </c>
      <c r="BK17" s="257">
        <f t="shared" si="48"/>
        <v>0</v>
      </c>
      <c r="BL17" s="257">
        <f t="shared" ref="BL17:BM17" si="49">SUM(BL15:BL15)</f>
        <v>0</v>
      </c>
      <c r="BM17" s="257">
        <f t="shared" si="49"/>
        <v>0</v>
      </c>
      <c r="BN17" s="230"/>
      <c r="BO17" s="257">
        <f>SUM(BO15:BO15)</f>
        <v>0</v>
      </c>
    </row>
    <row r="18" spans="2:67">
      <c r="B18" s="192"/>
      <c r="C18" s="258"/>
      <c r="D18" s="230"/>
      <c r="E18" s="230"/>
      <c r="F18" s="259"/>
      <c r="G18" s="230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30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30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07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H18" s="259"/>
      <c r="BI18" s="259"/>
      <c r="BJ18" s="259"/>
      <c r="BK18" s="259"/>
      <c r="BL18" s="259"/>
      <c r="BM18" s="259"/>
      <c r="BN18" s="230"/>
      <c r="BO18" s="259"/>
    </row>
    <row r="19" spans="2:67" ht="15" thickBot="1">
      <c r="B19" s="260" t="s">
        <v>54</v>
      </c>
      <c r="C19" s="261"/>
      <c r="D19" s="262"/>
      <c r="E19" s="200"/>
      <c r="F19" s="263">
        <f>+F12+F17</f>
        <v>140617311.81652001</v>
      </c>
      <c r="G19" s="200"/>
      <c r="H19" s="263">
        <f t="shared" ref="H19:I19" si="50">+H12+H17</f>
        <v>145864503.81652001</v>
      </c>
      <c r="I19" s="263">
        <f t="shared" si="50"/>
        <v>146653129.81652004</v>
      </c>
      <c r="J19" s="263">
        <f t="shared" ref="J19:K19" si="51">+J12+J17</f>
        <v>121349251.81652004</v>
      </c>
      <c r="K19" s="263">
        <f t="shared" si="51"/>
        <v>121624709.81652004</v>
      </c>
      <c r="L19" s="263">
        <f t="shared" ref="L19:M19" si="52">+L12+L17</f>
        <v>103689914.81652005</v>
      </c>
      <c r="M19" s="263">
        <f t="shared" si="52"/>
        <v>101294156.14652005</v>
      </c>
      <c r="N19" s="263">
        <f t="shared" ref="N19:S19" si="53">+N12+N17</f>
        <v>93443117.146520048</v>
      </c>
      <c r="O19" s="263">
        <f t="shared" si="53"/>
        <v>101923685.14652005</v>
      </c>
      <c r="P19" s="263">
        <f t="shared" si="53"/>
        <v>110824772.05952005</v>
      </c>
      <c r="Q19" s="263">
        <f t="shared" si="53"/>
        <v>120488463.05952005</v>
      </c>
      <c r="R19" s="263">
        <f t="shared" si="53"/>
        <v>93086657.569520071</v>
      </c>
      <c r="S19" s="263">
        <f t="shared" si="53"/>
        <v>69057329.569520056</v>
      </c>
      <c r="T19" s="200"/>
      <c r="U19" s="263">
        <f>+U12+U17</f>
        <v>74355714.819520056</v>
      </c>
      <c r="V19" s="263">
        <f>+V12+V17</f>
        <v>68643330.819520056</v>
      </c>
      <c r="W19" s="263">
        <f>+W12+W17</f>
        <v>66495136.819520056</v>
      </c>
      <c r="X19" s="263">
        <f>+X12+X17</f>
        <v>71277753.819520056</v>
      </c>
      <c r="Y19" s="263">
        <f t="shared" ref="Y19" si="54">+Y12+Y17</f>
        <v>65849264.569520056</v>
      </c>
      <c r="Z19" s="263">
        <f t="shared" ref="Z19:AA19" si="55">+Z12+Z17</f>
        <v>62586228.569520056</v>
      </c>
      <c r="AA19" s="263">
        <f t="shared" si="55"/>
        <v>57761110.729520053</v>
      </c>
      <c r="AB19" s="263">
        <f t="shared" ref="AB19" si="56">+AB12+AB17</f>
        <v>63488666.729520053</v>
      </c>
      <c r="AC19" s="263">
        <f t="shared" ref="AC19" si="57">+AC12+AC17</f>
        <v>59289583.913520053</v>
      </c>
      <c r="AD19" s="263">
        <f t="shared" ref="AD19" si="58">+AD12+AD17</f>
        <v>59217180.913520053</v>
      </c>
      <c r="AE19" s="263">
        <f t="shared" ref="AE19" si="59">+AE12+AE17</f>
        <v>52706264.913520053</v>
      </c>
      <c r="AF19" s="263">
        <f t="shared" ref="AF19" si="60">+AF12+AF17</f>
        <v>48427368.913520053</v>
      </c>
      <c r="AG19" s="200"/>
      <c r="AH19" s="263">
        <f t="shared" ref="AH19:AI19" si="61">+AH12+AH17</f>
        <v>40074047.75</v>
      </c>
      <c r="AI19" s="263" t="e">
        <f t="shared" si="61"/>
        <v>#REF!</v>
      </c>
      <c r="AJ19" s="263" t="e">
        <f t="shared" ref="AJ19:AK19" si="62">+AJ12+AJ17</f>
        <v>#REF!</v>
      </c>
      <c r="AK19" s="263" t="e">
        <f t="shared" si="62"/>
        <v>#REF!</v>
      </c>
      <c r="AL19" s="263" t="e">
        <f t="shared" ref="AL19:AM19" si="63">+AL12+AL17</f>
        <v>#REF!</v>
      </c>
      <c r="AM19" s="263" t="e">
        <f t="shared" si="63"/>
        <v>#REF!</v>
      </c>
      <c r="AN19" s="263" t="e">
        <f t="shared" ref="AN19:AS19" si="64">+AN12+AN17</f>
        <v>#REF!</v>
      </c>
      <c r="AO19" s="263" t="e">
        <f t="shared" si="64"/>
        <v>#REF!</v>
      </c>
      <c r="AP19" s="263" t="e">
        <f t="shared" si="64"/>
        <v>#REF!</v>
      </c>
      <c r="AQ19" s="263" t="e">
        <f t="shared" si="64"/>
        <v>#REF!</v>
      </c>
      <c r="AR19" s="263" t="e">
        <f t="shared" si="64"/>
        <v>#REF!</v>
      </c>
      <c r="AS19" s="263" t="e">
        <f t="shared" si="64"/>
        <v>#REF!</v>
      </c>
      <c r="AT19" s="261"/>
      <c r="AU19" s="263">
        <f>+AU12+AU17</f>
        <v>44054429.152279995</v>
      </c>
      <c r="AV19" s="263">
        <f t="shared" ref="AV19" si="65">+AV17+AV12</f>
        <v>10528394</v>
      </c>
      <c r="AW19" s="263">
        <f t="shared" ref="AW19:AX19" si="66">+AW17+AW12</f>
        <v>49996275.829999998</v>
      </c>
      <c r="AX19" s="263">
        <f t="shared" si="66"/>
        <v>64151628.829999998</v>
      </c>
      <c r="AY19" s="263">
        <f t="shared" ref="AY19:AZ19" si="67">+AY17+AY12</f>
        <v>41459709.259999998</v>
      </c>
      <c r="AZ19" s="263">
        <f t="shared" si="67"/>
        <v>24099032.609999999</v>
      </c>
      <c r="BA19" s="263">
        <f t="shared" ref="BA19:BB19" si="68">+BA17+BA12</f>
        <v>24312085.609999999</v>
      </c>
      <c r="BB19" s="263">
        <f t="shared" si="68"/>
        <v>24525138.609999999</v>
      </c>
      <c r="BC19" s="263">
        <f t="shared" ref="BC19:BD19" si="69">+BC17+BC12</f>
        <v>25338363.609999999</v>
      </c>
      <c r="BD19" s="263">
        <f t="shared" si="69"/>
        <v>23756666.609999999</v>
      </c>
      <c r="BE19" s="263">
        <f t="shared" ref="BE19:BF19" si="70">+BE17+BE12</f>
        <v>20842797</v>
      </c>
      <c r="BF19" s="263">
        <f t="shared" si="70"/>
        <v>19857850</v>
      </c>
      <c r="BH19" s="263">
        <f t="shared" ref="BH19" si="71">+BH17+BH12</f>
        <v>25306581.1606667</v>
      </c>
      <c r="BI19" s="263">
        <f t="shared" ref="BI19:BJ19" si="72">+BI17+BI12</f>
        <v>0</v>
      </c>
      <c r="BJ19" s="263">
        <f t="shared" si="72"/>
        <v>0</v>
      </c>
      <c r="BK19" s="263">
        <f t="shared" ref="BK19:BL19" si="73">+BK17+BK12</f>
        <v>0</v>
      </c>
      <c r="BL19" s="263">
        <f t="shared" si="73"/>
        <v>0</v>
      </c>
      <c r="BM19" s="263">
        <f t="shared" ref="BM19" si="74">+BM17+BM12</f>
        <v>0</v>
      </c>
      <c r="BN19" s="200"/>
      <c r="BO19" s="263">
        <f t="shared" ref="BO19" si="75">+BO17+BO12</f>
        <v>2000000</v>
      </c>
    </row>
    <row r="20" spans="2:67" ht="13.5" thickTop="1">
      <c r="B20" s="192"/>
      <c r="C20" s="258"/>
      <c r="D20" s="230"/>
      <c r="E20" s="230"/>
      <c r="F20" s="209"/>
      <c r="G20" s="230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30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30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7"/>
      <c r="AU20" s="209"/>
      <c r="AV20" s="209"/>
      <c r="AW20" s="209"/>
      <c r="AX20" s="209"/>
      <c r="AY20" s="209"/>
      <c r="AZ20" s="209"/>
      <c r="BA20" s="209"/>
      <c r="BB20" s="209"/>
      <c r="BC20" s="209"/>
      <c r="BD20" s="209"/>
      <c r="BE20" s="209"/>
      <c r="BF20" s="209"/>
      <c r="BH20" s="209"/>
      <c r="BI20" s="209"/>
      <c r="BJ20" s="209"/>
      <c r="BK20" s="209"/>
      <c r="BL20" s="209"/>
      <c r="BM20" s="209"/>
      <c r="BN20" s="230"/>
      <c r="BO20" s="209"/>
    </row>
    <row r="21" spans="2:67" ht="14.25">
      <c r="B21" s="245" t="s">
        <v>55</v>
      </c>
      <c r="C21" s="258"/>
      <c r="D21" s="264"/>
      <c r="E21" s="230"/>
      <c r="F21" s="265"/>
      <c r="G21" s="230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30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30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07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H21" s="265"/>
      <c r="BI21" s="265"/>
      <c r="BJ21" s="265"/>
      <c r="BK21" s="265"/>
      <c r="BL21" s="265"/>
      <c r="BM21" s="265"/>
      <c r="BN21" s="230"/>
      <c r="BO21" s="265"/>
    </row>
    <row r="22" spans="2:67">
      <c r="B22" s="192"/>
      <c r="C22" s="258"/>
      <c r="D22" s="230"/>
      <c r="E22" s="230"/>
      <c r="F22" s="209"/>
      <c r="G22" s="230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30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30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7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209"/>
      <c r="BH22" s="209"/>
      <c r="BI22" s="209"/>
      <c r="BJ22" s="209"/>
      <c r="BK22" s="209"/>
      <c r="BL22" s="209"/>
      <c r="BM22" s="209"/>
      <c r="BN22" s="230"/>
      <c r="BO22" s="209"/>
    </row>
    <row r="23" spans="2:67" ht="14.45" customHeight="1">
      <c r="B23" s="194" t="s">
        <v>47</v>
      </c>
      <c r="C23" s="258"/>
      <c r="D23" s="230"/>
      <c r="E23" s="230"/>
      <c r="F23" s="209"/>
      <c r="G23" s="230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30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30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7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09"/>
      <c r="BF23" s="209"/>
      <c r="BH23" s="209"/>
      <c r="BI23" s="209"/>
      <c r="BJ23" s="209"/>
      <c r="BK23" s="209"/>
      <c r="BL23" s="209"/>
      <c r="BM23" s="209"/>
      <c r="BN23" s="230"/>
      <c r="BO23" s="209"/>
    </row>
    <row r="24" spans="2:67" ht="15" hidden="1" customHeight="1">
      <c r="B24" s="192" t="s">
        <v>56</v>
      </c>
      <c r="C24" s="248"/>
      <c r="D24" s="250">
        <v>8</v>
      </c>
      <c r="E24" s="251"/>
      <c r="F24" s="249">
        <v>0</v>
      </c>
      <c r="G24" s="251"/>
      <c r="H24" s="249">
        <v>0</v>
      </c>
      <c r="I24" s="249">
        <v>0</v>
      </c>
      <c r="J24" s="249">
        <v>0</v>
      </c>
      <c r="K24" s="249">
        <v>0</v>
      </c>
      <c r="L24" s="249">
        <v>0</v>
      </c>
      <c r="M24" s="249">
        <v>0</v>
      </c>
      <c r="N24" s="249">
        <v>0</v>
      </c>
      <c r="O24" s="249">
        <v>0</v>
      </c>
      <c r="P24" s="249">
        <v>0</v>
      </c>
      <c r="Q24" s="249">
        <v>0</v>
      </c>
      <c r="R24" s="249">
        <v>0</v>
      </c>
      <c r="S24" s="249">
        <v>0</v>
      </c>
      <c r="T24" s="251"/>
      <c r="U24" s="249">
        <v>0</v>
      </c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51"/>
      <c r="AH24" s="249"/>
      <c r="AI24" s="249"/>
      <c r="AJ24" s="249"/>
      <c r="AK24" s="249"/>
      <c r="AL24" s="249"/>
      <c r="AM24" s="249"/>
      <c r="AN24" s="249"/>
      <c r="AO24" s="249"/>
      <c r="AP24" s="249"/>
      <c r="AQ24" s="249"/>
      <c r="AR24" s="249"/>
      <c r="AS24" s="249"/>
      <c r="AT24" s="249"/>
      <c r="AU24" s="249"/>
      <c r="AV24" s="249"/>
      <c r="AW24" s="249"/>
      <c r="AX24" s="249" t="e">
        <f>+'NOTAS ESF'!#REF!*20%</f>
        <v>#REF!</v>
      </c>
      <c r="AY24" s="249" t="e">
        <f>+'NOTAS ESF'!#REF!*20%</f>
        <v>#REF!</v>
      </c>
      <c r="AZ24" s="249" t="e">
        <f>+'NOTAS ESF'!#REF!*20%</f>
        <v>#REF!</v>
      </c>
      <c r="BA24" s="249" t="e">
        <f>+'NOTAS ESF'!#REF!*20%</f>
        <v>#REF!</v>
      </c>
      <c r="BB24" s="249" t="e">
        <f>+'NOTAS ESF'!#REF!*20%</f>
        <v>#REF!</v>
      </c>
      <c r="BC24" s="249" t="e">
        <f>+'NOTAS ESF'!#REF!*20%</f>
        <v>#REF!</v>
      </c>
      <c r="BD24" s="249" t="e">
        <f>+'NOTAS ESF'!#REF!*20%</f>
        <v>#REF!</v>
      </c>
      <c r="BE24" s="249" t="e">
        <f>+'NOTAS ESF'!#REF!*20%</f>
        <v>#REF!</v>
      </c>
      <c r="BF24" s="249" t="e">
        <f>+'NOTAS ESF'!#REF!*20%</f>
        <v>#REF!</v>
      </c>
      <c r="BH24" s="249">
        <v>0</v>
      </c>
      <c r="BI24" s="249" t="e">
        <f>+'NOTAS ESF'!#REF!*20%</f>
        <v>#REF!</v>
      </c>
      <c r="BJ24" s="249" t="e">
        <f>+'NOTAS ESF'!#REF!*20%</f>
        <v>#REF!</v>
      </c>
      <c r="BK24" s="249" t="e">
        <f>+'NOTAS ESF'!#REF!*20%</f>
        <v>#REF!</v>
      </c>
      <c r="BL24" s="249" t="e">
        <f>+'NOTAS ESF'!#REF!*20%</f>
        <v>#REF!</v>
      </c>
      <c r="BM24" s="249" t="e">
        <f>+'NOTAS ESF'!#REF!*20%</f>
        <v>#REF!</v>
      </c>
      <c r="BN24" s="251"/>
      <c r="BO24" s="249" t="e">
        <f>+'NOTAS ESF'!#REF!*20%</f>
        <v>#REF!</v>
      </c>
    </row>
    <row r="25" spans="2:67" ht="15" hidden="1" customHeight="1">
      <c r="B25" s="192" t="s">
        <v>57</v>
      </c>
      <c r="C25" s="248"/>
      <c r="D25" s="250">
        <v>7</v>
      </c>
      <c r="E25" s="251"/>
      <c r="F25" s="249">
        <v>0</v>
      </c>
      <c r="G25" s="251"/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49">
        <v>0</v>
      </c>
      <c r="P25" s="249">
        <v>0</v>
      </c>
      <c r="Q25" s="249">
        <v>0</v>
      </c>
      <c r="R25" s="249">
        <v>0</v>
      </c>
      <c r="S25" s="249">
        <v>0</v>
      </c>
      <c r="T25" s="251"/>
      <c r="U25" s="249">
        <v>0</v>
      </c>
      <c r="V25" s="249">
        <v>0</v>
      </c>
      <c r="W25" s="249">
        <v>0</v>
      </c>
      <c r="X25" s="249">
        <v>0</v>
      </c>
      <c r="Y25" s="249">
        <v>0</v>
      </c>
      <c r="Z25" s="249">
        <v>0</v>
      </c>
      <c r="AA25" s="249">
        <v>0</v>
      </c>
      <c r="AB25" s="249">
        <v>0</v>
      </c>
      <c r="AC25" s="249">
        <v>0</v>
      </c>
      <c r="AD25" s="249">
        <v>0</v>
      </c>
      <c r="AE25" s="249">
        <v>0</v>
      </c>
      <c r="AF25" s="249">
        <v>0</v>
      </c>
      <c r="AG25" s="251"/>
      <c r="AH25" s="249">
        <v>0</v>
      </c>
      <c r="AI25" s="249">
        <v>0</v>
      </c>
      <c r="AJ25" s="249">
        <v>0</v>
      </c>
      <c r="AK25" s="249">
        <v>0</v>
      </c>
      <c r="AL25" s="249">
        <v>0</v>
      </c>
      <c r="AM25" s="249">
        <v>0</v>
      </c>
      <c r="AN25" s="249">
        <v>0</v>
      </c>
      <c r="AO25" s="249">
        <v>0</v>
      </c>
      <c r="AP25" s="249">
        <v>0</v>
      </c>
      <c r="AQ25" s="249">
        <v>0</v>
      </c>
      <c r="AR25" s="249">
        <v>0</v>
      </c>
      <c r="AS25" s="249">
        <v>0</v>
      </c>
      <c r="AT25" s="249"/>
      <c r="AU25" s="249">
        <v>0</v>
      </c>
      <c r="AV25" s="249">
        <v>0</v>
      </c>
      <c r="AW25" s="249">
        <v>0</v>
      </c>
      <c r="AX25" s="249">
        <v>0</v>
      </c>
      <c r="AY25" s="249">
        <v>0</v>
      </c>
      <c r="AZ25" s="249">
        <v>0</v>
      </c>
      <c r="BA25" s="249">
        <v>0</v>
      </c>
      <c r="BB25" s="249">
        <v>0</v>
      </c>
      <c r="BC25" s="249">
        <v>0</v>
      </c>
      <c r="BD25" s="249">
        <v>0</v>
      </c>
      <c r="BE25" s="249">
        <v>0</v>
      </c>
      <c r="BF25" s="249">
        <v>0</v>
      </c>
      <c r="BH25" s="249">
        <v>0</v>
      </c>
      <c r="BI25" s="249" t="e">
        <f>+'NOTAS ESF'!#REF!</f>
        <v>#REF!</v>
      </c>
      <c r="BJ25" s="249" t="e">
        <f>+'NOTAS ESF'!#REF!</f>
        <v>#REF!</v>
      </c>
      <c r="BK25" s="249" t="e">
        <f>+'NOTAS ESF'!#REF!</f>
        <v>#REF!</v>
      </c>
      <c r="BL25" s="249" t="e">
        <f>+'NOTAS ESF'!#REF!</f>
        <v>#REF!</v>
      </c>
      <c r="BM25" s="249" t="e">
        <f>+'NOTAS ESF'!#REF!</f>
        <v>#REF!</v>
      </c>
      <c r="BN25" s="251"/>
      <c r="BO25" s="249">
        <v>0</v>
      </c>
    </row>
    <row r="26" spans="2:67" ht="15" customHeight="1">
      <c r="B26" s="192" t="s">
        <v>453</v>
      </c>
      <c r="C26" s="248"/>
      <c r="D26" s="250">
        <v>7</v>
      </c>
      <c r="E26" s="251"/>
      <c r="F26" s="249">
        <f>+'NOTAS ESF'!B79</f>
        <v>4558817</v>
      </c>
      <c r="G26" s="251"/>
      <c r="H26" s="249">
        <f>+'NOTAS ESF'!D79</f>
        <v>10155997</v>
      </c>
      <c r="I26" s="249">
        <f>+'NOTAS ESF'!E79</f>
        <v>9427003</v>
      </c>
      <c r="J26" s="249">
        <f>+'NOTAS ESF'!F79</f>
        <v>13568568</v>
      </c>
      <c r="K26" s="249">
        <f>+'NOTAS ESF'!G79</f>
        <v>13337057</v>
      </c>
      <c r="L26" s="249">
        <f>+'NOTAS ESF'!H79</f>
        <v>16305931</v>
      </c>
      <c r="M26" s="249">
        <f>+'NOTAS ESF'!I79</f>
        <v>19749101</v>
      </c>
      <c r="N26" s="249">
        <f>+'NOTAS ESF'!J79</f>
        <v>17140322</v>
      </c>
      <c r="O26" s="249">
        <f>+'NOTAS ESF'!K79</f>
        <v>20848428</v>
      </c>
      <c r="P26" s="249">
        <f>+'NOTAS ESF'!L79</f>
        <v>25097114</v>
      </c>
      <c r="Q26" s="249">
        <f>+'NOTAS ESF'!M79</f>
        <v>30989022</v>
      </c>
      <c r="R26" s="249">
        <f>+'NOTAS ESF'!N79</f>
        <v>11022534</v>
      </c>
      <c r="S26" s="249">
        <f>+'NOTAS ESF'!O79</f>
        <v>7877156</v>
      </c>
      <c r="T26" s="251"/>
      <c r="U26" s="249">
        <f>+'NOTAS ESF'!Q79</f>
        <v>6941830</v>
      </c>
      <c r="V26" s="249">
        <f>+'NOTAS ESF'!R79</f>
        <v>2593000</v>
      </c>
      <c r="W26" s="249">
        <f>+'NOTAS ESF'!S79</f>
        <v>3691704</v>
      </c>
      <c r="X26" s="249">
        <f>+'NOTAS ESF'!T79</f>
        <v>4055497</v>
      </c>
      <c r="Y26" s="249">
        <f>+'NOTAS ESF'!U79</f>
        <v>2763553</v>
      </c>
      <c r="Z26" s="249">
        <f>+'NOTAS ESF'!V79</f>
        <v>2996811</v>
      </c>
      <c r="AA26" s="249">
        <f>+'NOTAS ESF'!W79</f>
        <v>2161391</v>
      </c>
      <c r="AB26" s="249">
        <f>+'NOTAS ESF'!X79</f>
        <v>3213352</v>
      </c>
      <c r="AC26" s="249">
        <f>+'NOTAS ESF'!Y79</f>
        <v>1227706</v>
      </c>
      <c r="AD26" s="249">
        <f>+'NOTAS ESF'!Z79</f>
        <v>2027923</v>
      </c>
      <c r="AE26" s="249">
        <f>+'NOTAS ESF'!AA79</f>
        <v>1179269</v>
      </c>
      <c r="AF26" s="249">
        <f>+'NOTAS ESF'!AB79</f>
        <v>1329009</v>
      </c>
      <c r="AG26" s="251"/>
      <c r="AH26" s="249"/>
      <c r="AI26" s="249"/>
      <c r="AJ26" s="249"/>
      <c r="AK26" s="249"/>
      <c r="AL26" s="249"/>
      <c r="AM26" s="249"/>
      <c r="AN26" s="249"/>
      <c r="AO26" s="249"/>
      <c r="AP26" s="249"/>
      <c r="AQ26" s="249"/>
      <c r="AR26" s="249"/>
      <c r="AS26" s="249"/>
      <c r="AT26" s="249"/>
      <c r="AU26" s="249"/>
      <c r="AV26" s="249"/>
      <c r="AW26" s="249"/>
      <c r="AX26" s="249"/>
      <c r="AY26" s="249"/>
      <c r="AZ26" s="249"/>
      <c r="BA26" s="249"/>
      <c r="BB26" s="249"/>
      <c r="BC26" s="249"/>
      <c r="BD26" s="249"/>
      <c r="BE26" s="249"/>
      <c r="BF26" s="249"/>
      <c r="BH26" s="249"/>
      <c r="BI26" s="249" t="e">
        <f>+'NOTAS ESF'!#REF!*20%</f>
        <v>#REF!</v>
      </c>
      <c r="BJ26" s="249" t="e">
        <f>+'NOTAS ESF'!#REF!*20%</f>
        <v>#REF!</v>
      </c>
      <c r="BK26" s="249" t="e">
        <f>+'NOTAS ESF'!#REF!*20%</f>
        <v>#REF!</v>
      </c>
      <c r="BL26" s="249" t="e">
        <f>+'NOTAS ESF'!#REF!*20%</f>
        <v>#REF!</v>
      </c>
      <c r="BM26" s="249" t="e">
        <f>+'NOTAS ESF'!#REF!*20%</f>
        <v>#REF!</v>
      </c>
      <c r="BN26" s="251"/>
      <c r="BO26" s="249">
        <v>0</v>
      </c>
    </row>
    <row r="27" spans="2:67" ht="15">
      <c r="B27" s="192" t="s">
        <v>58</v>
      </c>
      <c r="C27" s="248"/>
      <c r="D27" s="250">
        <v>8</v>
      </c>
      <c r="E27" s="251"/>
      <c r="F27" s="249">
        <f>+'NOTAS ESF'!B98</f>
        <v>4356900</v>
      </c>
      <c r="G27" s="251"/>
      <c r="H27" s="249">
        <f>+'NOTAS ESF'!D98</f>
        <v>3776000</v>
      </c>
      <c r="I27" s="249">
        <f>+'NOTAS ESF'!E98</f>
        <v>3856900</v>
      </c>
      <c r="J27" s="249">
        <f>+'NOTAS ESF'!F98</f>
        <v>3856900</v>
      </c>
      <c r="K27" s="249">
        <f>+'NOTAS ESF'!G98</f>
        <v>3808700</v>
      </c>
      <c r="L27" s="249">
        <f>+'NOTAS ESF'!H98</f>
        <v>3838500</v>
      </c>
      <c r="M27" s="249">
        <f>+'NOTAS ESF'!I98</f>
        <v>3856900</v>
      </c>
      <c r="N27" s="249">
        <f>+'NOTAS ESF'!J98</f>
        <v>3769500</v>
      </c>
      <c r="O27" s="249">
        <f>+'NOTAS ESF'!K98</f>
        <v>3669800</v>
      </c>
      <c r="P27" s="249">
        <f>+'NOTAS ESF'!L98</f>
        <v>3856900</v>
      </c>
      <c r="Q27" s="249">
        <f>+'NOTAS ESF'!M98</f>
        <v>3446400</v>
      </c>
      <c r="R27" s="249">
        <f>+'NOTAS ESF'!N98</f>
        <v>3015600</v>
      </c>
      <c r="S27" s="249">
        <f>+'NOTAS ESF'!O98</f>
        <v>698600</v>
      </c>
      <c r="T27" s="251"/>
      <c r="U27" s="249">
        <f>+'NOTAS ESF'!Q98</f>
        <v>637600</v>
      </c>
      <c r="V27" s="249">
        <f>+'NOTAS ESF'!R98</f>
        <v>637600</v>
      </c>
      <c r="W27" s="249">
        <f>+'NOTAS ESF'!S98</f>
        <v>1636800</v>
      </c>
      <c r="X27" s="249">
        <f>+'NOTAS ESF'!T98</f>
        <v>1912800</v>
      </c>
      <c r="Y27" s="249">
        <f>+'NOTAS ESF'!U98</f>
        <v>1912800</v>
      </c>
      <c r="Z27" s="249">
        <f>+'NOTAS ESF'!V98</f>
        <v>1923700</v>
      </c>
      <c r="AA27" s="249">
        <f>+'NOTAS ESF'!W98</f>
        <v>2242500</v>
      </c>
      <c r="AB27" s="249">
        <f>+'NOTAS ESF'!X98</f>
        <v>3188000</v>
      </c>
      <c r="AC27" s="249">
        <f>+'NOTAS ESF'!Y98</f>
        <v>1912800</v>
      </c>
      <c r="AD27" s="249">
        <f>+'NOTAS ESF'!Z98</f>
        <v>2550400</v>
      </c>
      <c r="AE27" s="249">
        <f>+'NOTAS ESF'!AA98</f>
        <v>2231600</v>
      </c>
      <c r="AF27" s="249">
        <f>+'NOTAS ESF'!AB98</f>
        <v>956400</v>
      </c>
      <c r="AG27" s="251"/>
      <c r="AH27" s="249">
        <f>+'NOTAS ESF'!AD98</f>
        <v>897900</v>
      </c>
      <c r="AI27" s="249">
        <f>+'NOTAS ESF'!AE98</f>
        <v>897900</v>
      </c>
      <c r="AJ27" s="249">
        <f>+'NOTAS ESF'!AF98</f>
        <v>1719000</v>
      </c>
      <c r="AK27" s="249">
        <f>+'NOTAS ESF'!AG98</f>
        <v>809400</v>
      </c>
      <c r="AL27" s="249">
        <f>+'NOTAS ESF'!AH98</f>
        <v>875700</v>
      </c>
      <c r="AM27" s="249">
        <f>+'NOTAS ESF'!AI98</f>
        <v>569000</v>
      </c>
      <c r="AN27" s="249">
        <f>+'NOTAS ESF'!AJ98</f>
        <v>720794</v>
      </c>
      <c r="AO27" s="249">
        <f>+'NOTAS ESF'!AK98</f>
        <v>569000</v>
      </c>
      <c r="AP27" s="249">
        <f>+'NOTAS ESF'!AL98</f>
        <v>569000</v>
      </c>
      <c r="AQ27" s="249">
        <f>+'NOTAS ESF'!AM98</f>
        <v>1438554</v>
      </c>
      <c r="AR27" s="249">
        <f>+'NOTAS ESF'!AN98</f>
        <v>569000</v>
      </c>
      <c r="AS27" s="249">
        <f>+'NOTAS ESF'!AO98</f>
        <v>569000</v>
      </c>
      <c r="AT27" s="249"/>
      <c r="AU27" s="249">
        <f>+'NOTAS ESF'!AQ98</f>
        <v>780400</v>
      </c>
      <c r="AV27" s="249">
        <f>+'NOTAS ESF'!AR98</f>
        <v>1492900</v>
      </c>
      <c r="AW27" s="249">
        <f>+'NOTAS ESF'!AS98</f>
        <v>1098944</v>
      </c>
      <c r="AX27" s="249">
        <f>+'NOTAS ESF'!AT98</f>
        <v>391956</v>
      </c>
      <c r="AY27" s="249">
        <f>+'NOTAS ESF'!AU98</f>
        <v>363278</v>
      </c>
      <c r="AZ27" s="249">
        <f>+'NOTAS ESF'!AV98</f>
        <v>513452</v>
      </c>
      <c r="BA27" s="249">
        <f>+'NOTAS ESF'!AW98</f>
        <v>374078</v>
      </c>
      <c r="BB27" s="249">
        <f>+'NOTAS ESF'!AX98</f>
        <v>374078</v>
      </c>
      <c r="BC27" s="249">
        <f>+'NOTAS ESF'!AY98</f>
        <v>374078</v>
      </c>
      <c r="BD27" s="249">
        <f>+'NOTAS ESF'!AZ98</f>
        <v>374078</v>
      </c>
      <c r="BE27" s="249">
        <f>+'NOTAS ESF'!BA98</f>
        <v>321978</v>
      </c>
      <c r="BF27" s="249">
        <f>+'NOTAS ESF'!BB98</f>
        <v>116522</v>
      </c>
      <c r="BH27" s="249">
        <f>+'NOTAS ESF'!BD98</f>
        <v>446000</v>
      </c>
      <c r="BI27" s="249">
        <f>+'NOTAS ESF'!BE98</f>
        <v>0</v>
      </c>
      <c r="BJ27" s="249">
        <f>+'NOTAS ESF'!BF98</f>
        <v>0</v>
      </c>
      <c r="BK27" s="249">
        <f>+'NOTAS ESF'!BG98</f>
        <v>0</v>
      </c>
      <c r="BL27" s="249">
        <f>+'NOTAS ESF'!BH98</f>
        <v>0</v>
      </c>
      <c r="BM27" s="249">
        <f>+'NOTAS ESF'!BI98</f>
        <v>0</v>
      </c>
      <c r="BN27" s="251"/>
      <c r="BO27" s="249">
        <f>+'NOTAS ESF'!BK98</f>
        <v>0</v>
      </c>
    </row>
    <row r="28" spans="2:67" ht="15">
      <c r="B28" s="192" t="s">
        <v>59</v>
      </c>
      <c r="C28" s="248"/>
      <c r="D28" s="250">
        <v>9</v>
      </c>
      <c r="E28" s="251"/>
      <c r="F28" s="249">
        <f>+'NOTAS ESF'!B107</f>
        <v>38753448.898499995</v>
      </c>
      <c r="G28" s="251"/>
      <c r="H28" s="249">
        <f>+'NOTAS ESF'!D107</f>
        <v>40687061.898499995</v>
      </c>
      <c r="I28" s="249">
        <f>+'NOTAS ESF'!E107</f>
        <v>36865925.648499995</v>
      </c>
      <c r="J28" s="249">
        <f>+'NOTAS ESF'!F107</f>
        <v>32224889.298500001</v>
      </c>
      <c r="K28" s="249">
        <f>+'NOTAS ESF'!G107</f>
        <v>27343774.148499999</v>
      </c>
      <c r="L28" s="249">
        <f>+'NOTAS ESF'!H107</f>
        <v>20796788.1985</v>
      </c>
      <c r="M28" s="249">
        <f>+'NOTAS ESF'!I107</f>
        <v>21537466.714000002</v>
      </c>
      <c r="N28" s="249">
        <f>+'NOTAS ESF'!J107</f>
        <v>23015077.364</v>
      </c>
      <c r="O28" s="249">
        <f>+'NOTAS ESF'!K107</f>
        <v>24848146.813999999</v>
      </c>
      <c r="P28" s="249">
        <f>+'NOTAS ESF'!L107</f>
        <v>35437230.976999998</v>
      </c>
      <c r="Q28" s="249">
        <f>+'NOTAS ESF'!M107</f>
        <v>38646013.577</v>
      </c>
      <c r="R28" s="249">
        <f>+'NOTAS ESF'!N107</f>
        <v>39300310.055500001</v>
      </c>
      <c r="S28" s="249">
        <f>+'NOTAS ESF'!O107</f>
        <v>30697551.155500002</v>
      </c>
      <c r="T28" s="251"/>
      <c r="U28" s="249">
        <f>+'NOTAS ESF'!Q107</f>
        <v>32974360.943</v>
      </c>
      <c r="V28" s="249">
        <f>+'NOTAS ESF'!R107</f>
        <v>32800048.843000002</v>
      </c>
      <c r="W28" s="249">
        <f>+'NOTAS ESF'!S107</f>
        <v>30758161.642999999</v>
      </c>
      <c r="X28" s="249">
        <f>+'NOTAS ESF'!T107</f>
        <v>31769127.943</v>
      </c>
      <c r="Y28" s="249">
        <f>+'NOTAS ESF'!U107</f>
        <v>31003444.943</v>
      </c>
      <c r="Z28" s="249">
        <f>+'NOTAS ESF'!V107</f>
        <v>29069622.443</v>
      </c>
      <c r="AA28" s="249">
        <f>+'NOTAS ESF'!W107</f>
        <v>26373927.699000001</v>
      </c>
      <c r="AB28" s="249">
        <f>+'NOTAS ESF'!X107</f>
        <v>27514426.949000001</v>
      </c>
      <c r="AC28" s="249">
        <f>+'NOTAS ESF'!Y107</f>
        <v>28406958.854000002</v>
      </c>
      <c r="AD28" s="249">
        <f>+'NOTAS ESF'!Z107</f>
        <v>27843085.153999999</v>
      </c>
      <c r="AE28" s="249">
        <f>+'NOTAS ESF'!AA107</f>
        <v>25265582.554000001</v>
      </c>
      <c r="AF28" s="249">
        <f>+'NOTAS ESF'!AB107</f>
        <v>24251628.454000004</v>
      </c>
      <c r="AG28" s="251"/>
      <c r="AH28" s="249">
        <f>+'NOTAS ESF'!AD107</f>
        <v>19565237.614</v>
      </c>
      <c r="AI28" s="249">
        <f>+'NOTAS ESF'!AE107</f>
        <v>14531905.029999999</v>
      </c>
      <c r="AJ28" s="249">
        <f>+'NOTAS ESF'!AF107</f>
        <v>13621989.52</v>
      </c>
      <c r="AK28" s="249">
        <f>+'NOTAS ESF'!AG107</f>
        <v>11593682.969999999</v>
      </c>
      <c r="AL28" s="249">
        <f>+'NOTAS ESF'!AH107</f>
        <v>10977522.75</v>
      </c>
      <c r="AM28" s="249">
        <f>+'NOTAS ESF'!AI107</f>
        <v>10012081.560000001</v>
      </c>
      <c r="AN28" s="249">
        <f>+'NOTAS ESF'!AJ107</f>
        <v>9171171.6699999999</v>
      </c>
      <c r="AO28" s="249">
        <f>+'NOTAS ESF'!AK107</f>
        <v>8670615.1099999994</v>
      </c>
      <c r="AP28" s="249">
        <f>+'NOTAS ESF'!AL107</f>
        <v>680315.04999999981</v>
      </c>
      <c r="AQ28" s="249">
        <f>+'NOTAS ESF'!AM107</f>
        <v>93907.989999999991</v>
      </c>
      <c r="AR28" s="249">
        <f>+'NOTAS ESF'!AN107</f>
        <v>226849</v>
      </c>
      <c r="AS28" s="249">
        <f>+'NOTAS ESF'!AO107</f>
        <v>268308</v>
      </c>
      <c r="AT28" s="249"/>
      <c r="AU28" s="249">
        <f>+'NOTAS ESF'!AQ107</f>
        <v>4036561</v>
      </c>
      <c r="AV28" s="249">
        <f>+'NOTAS ESF'!AR107</f>
        <v>3427601</v>
      </c>
      <c r="AW28" s="249">
        <f>+'NOTAS ESF'!AS107</f>
        <v>3427601</v>
      </c>
      <c r="AX28" s="249">
        <f>+'NOTAS ESF'!AT107</f>
        <v>2823278.42</v>
      </c>
      <c r="AY28" s="249">
        <f>+'NOTAS ESF'!AU107</f>
        <v>1827340.06</v>
      </c>
      <c r="AZ28" s="249">
        <f>+'NOTAS ESF'!AV107</f>
        <v>-25516.32</v>
      </c>
      <c r="BA28" s="249">
        <f>+'NOTAS ESF'!AW107</f>
        <v>27081.760000000009</v>
      </c>
      <c r="BB28" s="249">
        <f>+'NOTAS ESF'!AX107</f>
        <v>93272.21</v>
      </c>
      <c r="BC28" s="249">
        <f>+'NOTAS ESF'!AY107</f>
        <v>62409.239999999991</v>
      </c>
      <c r="BD28" s="249">
        <f>+'NOTAS ESF'!AZ107</f>
        <v>-190440.31000000006</v>
      </c>
      <c r="BE28" s="249">
        <f>+'NOTAS ESF'!BA107</f>
        <v>-503988.5</v>
      </c>
      <c r="BF28" s="249">
        <f>+'NOTAS ESF'!BB107</f>
        <v>-648977.02</v>
      </c>
      <c r="BH28" s="249">
        <f>+'NOTAS ESF'!BD107</f>
        <v>294499.82999999996</v>
      </c>
      <c r="BI28" s="249">
        <f>+'NOTAS ESF'!BE107</f>
        <v>0</v>
      </c>
      <c r="BJ28" s="249">
        <f>+'NOTAS ESF'!BF107</f>
        <v>0</v>
      </c>
      <c r="BK28" s="249">
        <f>+'NOTAS ESF'!BG107</f>
        <v>0</v>
      </c>
      <c r="BL28" s="249">
        <f>+'NOTAS ESF'!BH107</f>
        <v>0</v>
      </c>
      <c r="BM28" s="249">
        <f>+'NOTAS ESF'!BI107</f>
        <v>0</v>
      </c>
      <c r="BN28" s="251"/>
      <c r="BO28" s="249">
        <f>+'NOTAS ESF'!BK107</f>
        <v>0</v>
      </c>
    </row>
    <row r="29" spans="2:67" ht="15">
      <c r="B29" s="192" t="s">
        <v>60</v>
      </c>
      <c r="C29" s="248"/>
      <c r="D29" s="250">
        <v>10</v>
      </c>
      <c r="E29" s="251"/>
      <c r="F29" s="249">
        <f>+'NOTAS ESF'!B118</f>
        <v>44679735</v>
      </c>
      <c r="G29" s="251"/>
      <c r="H29" s="249">
        <f>+'NOTAS ESF'!D118</f>
        <v>35230529</v>
      </c>
      <c r="I29" s="249">
        <f>+'NOTAS ESF'!E118</f>
        <v>46596939</v>
      </c>
      <c r="J29" s="249">
        <f>+'NOTAS ESF'!F118</f>
        <v>29319455</v>
      </c>
      <c r="K29" s="249">
        <f>+'NOTAS ESF'!G118</f>
        <v>44412470</v>
      </c>
      <c r="L29" s="249">
        <f>+'NOTAS ESF'!H118</f>
        <v>40577188</v>
      </c>
      <c r="M29" s="249">
        <f>+'NOTAS ESF'!I118</f>
        <v>36741704</v>
      </c>
      <c r="N29" s="249">
        <f>+'NOTAS ESF'!J118</f>
        <v>33292159</v>
      </c>
      <c r="O29" s="249">
        <f>+'NOTAS ESF'!K118</f>
        <v>37217535</v>
      </c>
      <c r="P29" s="249">
        <f>+'NOTAS ESF'!L118</f>
        <v>34393304</v>
      </c>
      <c r="Q29" s="249">
        <f>+'NOTAS ESF'!M118</f>
        <v>34933166</v>
      </c>
      <c r="R29" s="249">
        <f>+'NOTAS ESF'!N118</f>
        <v>29421784</v>
      </c>
      <c r="S29" s="249">
        <f>+'NOTAS ESF'!O118</f>
        <v>16395504</v>
      </c>
      <c r="T29" s="251"/>
      <c r="U29" s="249">
        <f>+'NOTAS ESF'!Q118</f>
        <v>16398640</v>
      </c>
      <c r="V29" s="249">
        <f>+'NOTAS ESF'!R118</f>
        <v>16775928</v>
      </c>
      <c r="W29" s="249">
        <f>+'NOTAS ESF'!S118</f>
        <v>16355689</v>
      </c>
      <c r="X29" s="249">
        <f>+'NOTAS ESF'!T118</f>
        <v>20855057</v>
      </c>
      <c r="Y29" s="249">
        <f>+'NOTAS ESF'!U118</f>
        <v>17768027</v>
      </c>
      <c r="Z29" s="249">
        <f>+'NOTAS ESF'!V118</f>
        <v>17113268</v>
      </c>
      <c r="AA29" s="249">
        <f>+'NOTAS ESF'!W118</f>
        <v>17254521</v>
      </c>
      <c r="AB29" s="249">
        <f>+'NOTAS ESF'!X118</f>
        <v>17747629</v>
      </c>
      <c r="AC29" s="249">
        <f>+'NOTAS ESF'!Y118</f>
        <v>16716484</v>
      </c>
      <c r="AD29" s="249">
        <f>+'NOTAS ESF'!Z118</f>
        <v>15252005</v>
      </c>
      <c r="AE29" s="249">
        <f>+'NOTAS ESF'!AA118</f>
        <v>14121100</v>
      </c>
      <c r="AF29" s="249">
        <f>+'NOTAS ESF'!AB118</f>
        <v>11572647</v>
      </c>
      <c r="AG29" s="251"/>
      <c r="AH29" s="249">
        <f>+'NOTAS ESF'!AD118</f>
        <v>10384219</v>
      </c>
      <c r="AI29" s="249">
        <f>+'NOTAS ESF'!AE118</f>
        <v>11172268</v>
      </c>
      <c r="AJ29" s="249">
        <f>+'NOTAS ESF'!AF118</f>
        <v>10466235</v>
      </c>
      <c r="AK29" s="249">
        <f>+'NOTAS ESF'!AG118</f>
        <v>5838235</v>
      </c>
      <c r="AL29" s="249">
        <f>+'NOTAS ESF'!AH118</f>
        <v>5506749</v>
      </c>
      <c r="AM29" s="249">
        <f>+'NOTAS ESF'!AI118</f>
        <v>4822615</v>
      </c>
      <c r="AN29" s="249">
        <f>+'NOTAS ESF'!AJ118</f>
        <v>5416539</v>
      </c>
      <c r="AO29" s="249">
        <f>+'NOTAS ESF'!AK118</f>
        <v>5076869</v>
      </c>
      <c r="AP29" s="249">
        <f>+'NOTAS ESF'!AL118</f>
        <v>4520753</v>
      </c>
      <c r="AQ29" s="249">
        <f>+'NOTAS ESF'!AM118</f>
        <v>3964637</v>
      </c>
      <c r="AR29" s="249">
        <f>+'NOTAS ESF'!AN118</f>
        <v>2285266</v>
      </c>
      <c r="AS29" s="249">
        <f>+'NOTAS ESF'!AO118</f>
        <v>3714002</v>
      </c>
      <c r="AT29" s="249"/>
      <c r="AU29" s="249">
        <f>+'NOTAS ESF'!AQ118</f>
        <v>3419676.6587599972</v>
      </c>
      <c r="AV29" s="249">
        <f>+'NOTAS ESF'!AR118</f>
        <v>6199779</v>
      </c>
      <c r="AW29" s="249">
        <f>+'NOTAS ESF'!AS118</f>
        <v>5368633</v>
      </c>
      <c r="AX29" s="249">
        <f>+'NOTAS ESF'!AT118</f>
        <v>4087491</v>
      </c>
      <c r="AY29" s="249">
        <f>+'NOTAS ESF'!AU118</f>
        <v>2824195</v>
      </c>
      <c r="AZ29" s="249">
        <f>+'NOTAS ESF'!AV118</f>
        <v>2579874</v>
      </c>
      <c r="BA29" s="249">
        <f>+'NOTAS ESF'!AW118</f>
        <v>2162737</v>
      </c>
      <c r="BB29" s="249">
        <f>+'NOTAS ESF'!AX118</f>
        <v>2463015</v>
      </c>
      <c r="BC29" s="249">
        <f>+'NOTAS ESF'!AY118</f>
        <v>2463015</v>
      </c>
      <c r="BD29" s="249">
        <f>+'NOTAS ESF'!AZ118</f>
        <v>2463015</v>
      </c>
      <c r="BE29" s="249">
        <f>+'NOTAS ESF'!BA118</f>
        <v>1463015</v>
      </c>
      <c r="BF29" s="249">
        <f>+'NOTAS ESF'!BB118</f>
        <v>2415217</v>
      </c>
      <c r="BH29" s="249">
        <f>+'NOTAS ESF'!BD118</f>
        <v>1499566.3306666671</v>
      </c>
      <c r="BI29" s="249">
        <f>+'NOTAS ESF'!BE118</f>
        <v>0</v>
      </c>
      <c r="BJ29" s="249">
        <f>+'NOTAS ESF'!BF118</f>
        <v>0</v>
      </c>
      <c r="BK29" s="249">
        <f>+'NOTAS ESF'!BG118</f>
        <v>0</v>
      </c>
      <c r="BL29" s="249">
        <f>+'NOTAS ESF'!BH118</f>
        <v>0</v>
      </c>
      <c r="BM29" s="249">
        <f>+'NOTAS ESF'!BI118</f>
        <v>0</v>
      </c>
      <c r="BN29" s="251"/>
      <c r="BO29" s="249">
        <f>+'NOTAS ESF'!BK118</f>
        <v>0</v>
      </c>
    </row>
    <row r="30" spans="2:67">
      <c r="B30" s="253" t="s">
        <v>50</v>
      </c>
      <c r="C30" s="254"/>
      <c r="D30" s="230"/>
      <c r="E30" s="230"/>
      <c r="F30" s="266">
        <f t="shared" ref="F30" si="76">SUM(F24:F29)</f>
        <v>92348900.898499995</v>
      </c>
      <c r="G30" s="230"/>
      <c r="H30" s="266">
        <f t="shared" ref="H30:I30" si="77">SUM(H24:H29)</f>
        <v>89849587.898499995</v>
      </c>
      <c r="I30" s="266">
        <f t="shared" si="77"/>
        <v>96746767.648499995</v>
      </c>
      <c r="J30" s="266">
        <f t="shared" ref="J30:K30" si="78">SUM(J24:J29)</f>
        <v>78969812.298500001</v>
      </c>
      <c r="K30" s="266">
        <f t="shared" si="78"/>
        <v>88902001.148499995</v>
      </c>
      <c r="L30" s="266">
        <f t="shared" ref="L30:M30" si="79">SUM(L24:L29)</f>
        <v>81518407.198500007</v>
      </c>
      <c r="M30" s="266">
        <f t="shared" si="79"/>
        <v>81885171.714000002</v>
      </c>
      <c r="N30" s="266">
        <f t="shared" ref="N30:O30" si="80">SUM(N24:N29)</f>
        <v>77217058.363999993</v>
      </c>
      <c r="O30" s="266">
        <f t="shared" si="80"/>
        <v>86583909.813999996</v>
      </c>
      <c r="P30" s="266">
        <f t="shared" ref="P30" si="81">SUM(P24:P29)</f>
        <v>98784548.976999998</v>
      </c>
      <c r="Q30" s="266">
        <f>SUM(Q24:Q29)</f>
        <v>108014601.57699999</v>
      </c>
      <c r="R30" s="266">
        <f t="shared" ref="R30:S30" si="82">SUM(R24:R29)</f>
        <v>82760228.055500001</v>
      </c>
      <c r="S30" s="266">
        <f t="shared" si="82"/>
        <v>55668811.155500002</v>
      </c>
      <c r="T30" s="230"/>
      <c r="U30" s="266">
        <f t="shared" ref="U30:AF30" si="83">SUM(U24:U29)</f>
        <v>56952430.943000004</v>
      </c>
      <c r="V30" s="266">
        <f t="shared" si="83"/>
        <v>52806576.843000002</v>
      </c>
      <c r="W30" s="266">
        <f t="shared" si="83"/>
        <v>52442354.642999999</v>
      </c>
      <c r="X30" s="266">
        <f t="shared" si="83"/>
        <v>58592481.943000004</v>
      </c>
      <c r="Y30" s="266">
        <f t="shared" si="83"/>
        <v>53447824.943000004</v>
      </c>
      <c r="Z30" s="266">
        <f t="shared" si="83"/>
        <v>51103401.443000004</v>
      </c>
      <c r="AA30" s="266">
        <f t="shared" si="83"/>
        <v>48032339.699000001</v>
      </c>
      <c r="AB30" s="266">
        <f t="shared" si="83"/>
        <v>51663407.949000001</v>
      </c>
      <c r="AC30" s="266">
        <f t="shared" si="83"/>
        <v>48263948.854000002</v>
      </c>
      <c r="AD30" s="266">
        <f t="shared" si="83"/>
        <v>47673413.153999999</v>
      </c>
      <c r="AE30" s="266">
        <f t="shared" si="83"/>
        <v>42797551.554000005</v>
      </c>
      <c r="AF30" s="266">
        <f t="shared" si="83"/>
        <v>38109684.454000004</v>
      </c>
      <c r="AG30" s="230"/>
      <c r="AH30" s="266">
        <f t="shared" ref="AH30:AS30" si="84">SUM(AH24:AH29)</f>
        <v>30847356.614</v>
      </c>
      <c r="AI30" s="266">
        <f t="shared" si="84"/>
        <v>26602073.030000001</v>
      </c>
      <c r="AJ30" s="266">
        <f t="shared" si="84"/>
        <v>25807224.52</v>
      </c>
      <c r="AK30" s="266">
        <f t="shared" si="84"/>
        <v>18241317.969999999</v>
      </c>
      <c r="AL30" s="266">
        <f t="shared" si="84"/>
        <v>17359971.75</v>
      </c>
      <c r="AM30" s="266">
        <f t="shared" si="84"/>
        <v>15403696.560000001</v>
      </c>
      <c r="AN30" s="266">
        <f t="shared" si="84"/>
        <v>15308504.67</v>
      </c>
      <c r="AO30" s="266">
        <f t="shared" si="84"/>
        <v>14316484.109999999</v>
      </c>
      <c r="AP30" s="266">
        <f t="shared" si="84"/>
        <v>5770068.0499999998</v>
      </c>
      <c r="AQ30" s="266">
        <f t="shared" si="84"/>
        <v>5497098.9900000002</v>
      </c>
      <c r="AR30" s="266">
        <f t="shared" si="84"/>
        <v>3081115</v>
      </c>
      <c r="AS30" s="266">
        <f t="shared" si="84"/>
        <v>4551310</v>
      </c>
      <c r="AT30" s="301"/>
      <c r="AU30" s="266">
        <f t="shared" ref="AU30:AW30" si="85">SUM(AU24:AU29)</f>
        <v>8236637.6587599972</v>
      </c>
      <c r="AV30" s="266">
        <f t="shared" si="85"/>
        <v>11120280</v>
      </c>
      <c r="AW30" s="266">
        <f t="shared" si="85"/>
        <v>9895178</v>
      </c>
      <c r="AX30" s="266">
        <f>+AX27+AX28+AX29</f>
        <v>7302725.4199999999</v>
      </c>
      <c r="AY30" s="266">
        <f t="shared" ref="AY30:BF30" si="86">+AY27+AY28+AY29</f>
        <v>5014813.0600000005</v>
      </c>
      <c r="AZ30" s="266">
        <f t="shared" si="86"/>
        <v>3067809.68</v>
      </c>
      <c r="BA30" s="266">
        <f t="shared" si="86"/>
        <v>2563896.7599999998</v>
      </c>
      <c r="BB30" s="266">
        <f t="shared" si="86"/>
        <v>2930365.21</v>
      </c>
      <c r="BC30" s="266">
        <f t="shared" si="86"/>
        <v>2899502.24</v>
      </c>
      <c r="BD30" s="266">
        <f t="shared" si="86"/>
        <v>2646652.69</v>
      </c>
      <c r="BE30" s="266">
        <f t="shared" si="86"/>
        <v>1281004.5</v>
      </c>
      <c r="BF30" s="266">
        <f t="shared" si="86"/>
        <v>1882761.98</v>
      </c>
      <c r="BH30" s="266">
        <f t="shared" ref="BH30:BM30" si="87">SUM(BH24:BH29)</f>
        <v>2240066.1606666669</v>
      </c>
      <c r="BI30" s="266" t="e">
        <f t="shared" si="87"/>
        <v>#REF!</v>
      </c>
      <c r="BJ30" s="266" t="e">
        <f t="shared" si="87"/>
        <v>#REF!</v>
      </c>
      <c r="BK30" s="266" t="e">
        <f t="shared" si="87"/>
        <v>#REF!</v>
      </c>
      <c r="BL30" s="266" t="e">
        <f t="shared" si="87"/>
        <v>#REF!</v>
      </c>
      <c r="BM30" s="266" t="e">
        <f t="shared" si="87"/>
        <v>#REF!</v>
      </c>
      <c r="BN30" s="230"/>
      <c r="BO30" s="266" t="e">
        <f>SUM(BO24:BO29)</f>
        <v>#REF!</v>
      </c>
    </row>
    <row r="31" spans="2:67" ht="12.75" customHeight="1">
      <c r="B31" s="192"/>
      <c r="C31" s="248"/>
      <c r="D31" s="230"/>
      <c r="E31" s="230"/>
      <c r="F31" s="249"/>
      <c r="G31" s="230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30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30"/>
      <c r="AH31" s="249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H31" s="249"/>
      <c r="BI31" s="249"/>
      <c r="BJ31" s="249"/>
      <c r="BK31" s="249"/>
      <c r="BL31" s="249"/>
      <c r="BM31" s="249"/>
      <c r="BN31" s="230"/>
      <c r="BO31" s="249"/>
    </row>
    <row r="32" spans="2:67">
      <c r="B32" s="194" t="s">
        <v>51</v>
      </c>
      <c r="C32" s="248"/>
      <c r="D32" s="230"/>
      <c r="E32" s="230"/>
      <c r="F32" s="249"/>
      <c r="G32" s="230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30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30"/>
      <c r="AH32" s="249"/>
      <c r="AI32" s="249"/>
      <c r="AJ32" s="249"/>
      <c r="AK32" s="249"/>
      <c r="AL32" s="249"/>
      <c r="AM32" s="249"/>
      <c r="AN32" s="249"/>
      <c r="AO32" s="249"/>
      <c r="AP32" s="249"/>
      <c r="AQ32" s="249"/>
      <c r="AR32" s="249"/>
      <c r="AS32" s="249"/>
      <c r="AT32" s="249"/>
      <c r="AU32" s="249"/>
      <c r="AV32" s="249"/>
      <c r="AW32" s="249"/>
      <c r="AX32" s="249"/>
      <c r="AY32" s="249"/>
      <c r="AZ32" s="249"/>
      <c r="BA32" s="249"/>
      <c r="BB32" s="249"/>
      <c r="BC32" s="249"/>
      <c r="BD32" s="249"/>
      <c r="BE32" s="249"/>
      <c r="BF32" s="249"/>
      <c r="BH32" s="249"/>
      <c r="BI32" s="249"/>
      <c r="BJ32" s="249"/>
      <c r="BK32" s="249"/>
      <c r="BL32" s="249"/>
      <c r="BM32" s="249"/>
      <c r="BN32" s="230"/>
      <c r="BO32" s="249"/>
    </row>
    <row r="33" spans="2:76" ht="15">
      <c r="B33" s="192" t="s">
        <v>454</v>
      </c>
      <c r="C33" s="248"/>
      <c r="D33" s="250">
        <v>11</v>
      </c>
      <c r="E33" s="251"/>
      <c r="F33" s="249">
        <f>+'NOTAS ESF'!B125</f>
        <v>6684000</v>
      </c>
      <c r="G33" s="251"/>
      <c r="H33" s="249">
        <f>+'NOTAS ESF'!D125</f>
        <v>6684000</v>
      </c>
      <c r="I33" s="249">
        <f>+'NOTAS ESF'!E125</f>
        <v>6684000</v>
      </c>
      <c r="J33" s="249">
        <f>+'NOTAS ESF'!F125</f>
        <v>6684000</v>
      </c>
      <c r="K33" s="249">
        <f>+'NOTAS ESF'!G125</f>
        <v>6684000</v>
      </c>
      <c r="L33" s="249">
        <f>+'NOTAS ESF'!H125</f>
        <v>6684000</v>
      </c>
      <c r="M33" s="249">
        <f>+'NOTAS ESF'!I125</f>
        <v>6684000</v>
      </c>
      <c r="N33" s="249">
        <f>+'NOTAS ESF'!J125</f>
        <v>4284000</v>
      </c>
      <c r="O33" s="249">
        <f>+'NOTAS ESF'!K125</f>
        <v>4284000</v>
      </c>
      <c r="P33" s="249">
        <f>+'NOTAS ESF'!L125</f>
        <v>0</v>
      </c>
      <c r="Q33" s="249">
        <f>+'NOTAS ESF'!M125</f>
        <v>0</v>
      </c>
      <c r="R33" s="249">
        <f>+'NOTAS ESF'!N125</f>
        <v>0</v>
      </c>
      <c r="S33" s="249">
        <f>+'NOTAS ESF'!O125</f>
        <v>0</v>
      </c>
      <c r="T33" s="251"/>
      <c r="U33" s="249">
        <f>+'NOTAS ESF'!Q125</f>
        <v>0</v>
      </c>
      <c r="V33" s="249">
        <f>+'NOTAS ESF'!R125</f>
        <v>0</v>
      </c>
      <c r="W33" s="249">
        <f>+'NOTAS ESF'!S125</f>
        <v>0</v>
      </c>
      <c r="X33" s="249">
        <f>+'NOTAS ESF'!T125</f>
        <v>0</v>
      </c>
      <c r="Y33" s="249">
        <f>+'NOTAS ESF'!U125</f>
        <v>0</v>
      </c>
      <c r="Z33" s="249">
        <f>+'NOTAS ESF'!V125</f>
        <v>0</v>
      </c>
      <c r="AA33" s="249">
        <f>+'NOTAS ESF'!W125</f>
        <v>0</v>
      </c>
      <c r="AB33" s="249">
        <f>+'NOTAS ESF'!X125</f>
        <v>1685431</v>
      </c>
      <c r="AC33" s="249">
        <f>+'NOTAS ESF'!Y125</f>
        <v>1685431</v>
      </c>
      <c r="AD33" s="249">
        <f>+'NOTAS ESF'!Z125</f>
        <v>896220</v>
      </c>
      <c r="AE33" s="249">
        <f>+'NOTAS ESF'!AA125</f>
        <v>262800</v>
      </c>
      <c r="AF33" s="249">
        <f>+'NOTAS ESF'!AB125</f>
        <v>0</v>
      </c>
      <c r="AG33" s="251"/>
      <c r="AH33" s="249">
        <f>+'NOTAS ESF'!AD79</f>
        <v>40000</v>
      </c>
      <c r="AI33" s="249">
        <f>+'NOTAS ESF'!AE79</f>
        <v>29910000</v>
      </c>
      <c r="AJ33" s="249">
        <f>+'NOTAS ESF'!AF79</f>
        <v>33910000</v>
      </c>
      <c r="AK33" s="249">
        <f>+'NOTAS ESF'!AG79</f>
        <v>29910000</v>
      </c>
      <c r="AL33" s="249">
        <f>+'NOTAS ESF'!AH79</f>
        <v>34210385.480000004</v>
      </c>
      <c r="AM33" s="249">
        <f>+'NOTAS ESF'!AI79</f>
        <v>36724324.109999999</v>
      </c>
      <c r="AN33" s="249">
        <f>+'NOTAS ESF'!AJ79</f>
        <v>75507001.349999994</v>
      </c>
      <c r="AO33" s="249">
        <f>+'NOTAS ESF'!AK79</f>
        <v>71511774.789999992</v>
      </c>
      <c r="AP33" s="249">
        <f>+'NOTAS ESF'!AL79</f>
        <v>67034381</v>
      </c>
      <c r="AQ33" s="249">
        <f>+'NOTAS ESF'!AM79</f>
        <v>69882147.729999989</v>
      </c>
      <c r="AR33" s="249">
        <f>+'NOTAS ESF'!AN79</f>
        <v>41396356.730000004</v>
      </c>
      <c r="AS33" s="249">
        <f>+'NOTAS ESF'!AO79</f>
        <v>35845172</v>
      </c>
      <c r="AT33" s="249"/>
      <c r="AU33" s="249">
        <f>+'NOTAS ESF'!AQ79</f>
        <v>32460000</v>
      </c>
      <c r="AV33" s="249">
        <f>+'NOTAS ESF'!AR79</f>
        <v>1694936.4512000009</v>
      </c>
      <c r="AW33" s="249">
        <f>+'NOTAS ESF'!AS79</f>
        <v>42400371.281199999</v>
      </c>
      <c r="AX33" s="249">
        <f>+'NOTAS ESF'!AT79</f>
        <v>43938472.721780002</v>
      </c>
      <c r="AY33" s="249">
        <f>+'NOTAS ESF'!AU79</f>
        <v>27215889.881219998</v>
      </c>
      <c r="AZ33" s="249">
        <f>+'NOTAS ESF'!AV79</f>
        <v>18825168.478</v>
      </c>
      <c r="BA33" s="249">
        <f>+'NOTAS ESF'!AW79</f>
        <v>18846888.850000001</v>
      </c>
      <c r="BB33" s="249">
        <f>+'NOTAS ESF'!AX79</f>
        <v>18760643.399999999</v>
      </c>
      <c r="BC33" s="249">
        <f>+'NOTAS ESF'!AY79</f>
        <v>19032761.369999997</v>
      </c>
      <c r="BD33" s="249">
        <f>+'NOTAS ESF'!AZ79</f>
        <v>15672728.92</v>
      </c>
      <c r="BE33" s="249">
        <f>+'NOTAS ESF'!BA79</f>
        <v>16009813.5</v>
      </c>
      <c r="BF33" s="249">
        <f>+'NOTAS ESF'!BB79</f>
        <v>17136601.460000001</v>
      </c>
      <c r="BH33" s="249">
        <f>+'NOTAS ESF'!BD79</f>
        <v>20000000</v>
      </c>
      <c r="BI33" s="249" t="e">
        <f>+'NOTAS ESF'!#REF!*80%</f>
        <v>#REF!</v>
      </c>
      <c r="BJ33" s="249" t="e">
        <f>+'NOTAS ESF'!#REF!*80%</f>
        <v>#REF!</v>
      </c>
      <c r="BK33" s="249" t="e">
        <f>+'NOTAS ESF'!#REF!*80%</f>
        <v>#REF!</v>
      </c>
      <c r="BL33" s="249" t="e">
        <f>+'NOTAS ESF'!#REF!*80%</f>
        <v>#REF!</v>
      </c>
      <c r="BM33" s="249" t="e">
        <f>+'NOTAS ESF'!#REF!*80%</f>
        <v>#REF!</v>
      </c>
      <c r="BN33" s="251"/>
      <c r="BO33" s="249" t="e">
        <f>+'NOTAS ESF'!#REF!*80%</f>
        <v>#REF!</v>
      </c>
    </row>
    <row r="34" spans="2:76">
      <c r="B34" s="253" t="s">
        <v>50</v>
      </c>
      <c r="C34" s="254"/>
      <c r="D34" s="230"/>
      <c r="E34" s="230"/>
      <c r="F34" s="266">
        <f t="shared" ref="F34:H34" si="88">SUM(F32:F33)</f>
        <v>6684000</v>
      </c>
      <c r="G34" s="230"/>
      <c r="H34" s="266">
        <f t="shared" si="88"/>
        <v>6684000</v>
      </c>
      <c r="I34" s="266">
        <f t="shared" ref="I34:J34" si="89">SUM(I32:I33)</f>
        <v>6684000</v>
      </c>
      <c r="J34" s="266">
        <f t="shared" si="89"/>
        <v>6684000</v>
      </c>
      <c r="K34" s="266">
        <f t="shared" ref="K34:L34" si="90">SUM(K32:K33)</f>
        <v>6684000</v>
      </c>
      <c r="L34" s="266">
        <f t="shared" si="90"/>
        <v>6684000</v>
      </c>
      <c r="M34" s="266">
        <f t="shared" ref="M34:S34" si="91">SUM(M32:M33)</f>
        <v>6684000</v>
      </c>
      <c r="N34" s="266">
        <f t="shared" si="91"/>
        <v>4284000</v>
      </c>
      <c r="O34" s="266">
        <f t="shared" si="91"/>
        <v>4284000</v>
      </c>
      <c r="P34" s="266">
        <f t="shared" si="91"/>
        <v>0</v>
      </c>
      <c r="Q34" s="266">
        <f t="shared" si="91"/>
        <v>0</v>
      </c>
      <c r="R34" s="266">
        <f t="shared" si="91"/>
        <v>0</v>
      </c>
      <c r="S34" s="266">
        <f t="shared" si="91"/>
        <v>0</v>
      </c>
      <c r="T34" s="230"/>
      <c r="U34" s="266">
        <f>SUM(U32:U33)</f>
        <v>0</v>
      </c>
      <c r="V34" s="266">
        <f>SUM(V32:V33)</f>
        <v>0</v>
      </c>
      <c r="W34" s="266">
        <f>SUM(W32:W33)</f>
        <v>0</v>
      </c>
      <c r="X34" s="266">
        <f>SUM(X32:X33)</f>
        <v>0</v>
      </c>
      <c r="Y34" s="266">
        <f t="shared" ref="Y34" si="92">SUM(Y32:Y33)</f>
        <v>0</v>
      </c>
      <c r="Z34" s="266">
        <f t="shared" ref="Z34:AA34" si="93">SUM(Z32:Z33)</f>
        <v>0</v>
      </c>
      <c r="AA34" s="266">
        <f t="shared" si="93"/>
        <v>0</v>
      </c>
      <c r="AB34" s="266">
        <f t="shared" ref="AB34" si="94">SUM(AB32:AB33)</f>
        <v>1685431</v>
      </c>
      <c r="AC34" s="266">
        <f t="shared" ref="AC34" si="95">SUM(AC32:AC33)</f>
        <v>1685431</v>
      </c>
      <c r="AD34" s="266">
        <f t="shared" ref="AD34" si="96">SUM(AD32:AD33)</f>
        <v>896220</v>
      </c>
      <c r="AE34" s="266">
        <f t="shared" ref="AE34" si="97">SUM(AE32:AE33)</f>
        <v>262800</v>
      </c>
      <c r="AF34" s="266">
        <f t="shared" ref="AF34" si="98">SUM(AF32:AF33)</f>
        <v>0</v>
      </c>
      <c r="AG34" s="230"/>
      <c r="AH34" s="266">
        <f t="shared" ref="AH34:AI34" si="99">SUM(AH32:AH33)</f>
        <v>40000</v>
      </c>
      <c r="AI34" s="266">
        <f t="shared" si="99"/>
        <v>29910000</v>
      </c>
      <c r="AJ34" s="266">
        <f t="shared" ref="AJ34:AK34" si="100">SUM(AJ32:AJ33)</f>
        <v>33910000</v>
      </c>
      <c r="AK34" s="266">
        <f t="shared" si="100"/>
        <v>29910000</v>
      </c>
      <c r="AL34" s="266">
        <f t="shared" ref="AL34:AM34" si="101">SUM(AL32:AL33)</f>
        <v>34210385.480000004</v>
      </c>
      <c r="AM34" s="266">
        <f t="shared" si="101"/>
        <v>36724324.109999999</v>
      </c>
      <c r="AN34" s="266">
        <f t="shared" ref="AN34:AO34" si="102">SUM(AN32:AN33)</f>
        <v>75507001.349999994</v>
      </c>
      <c r="AO34" s="266">
        <f t="shared" si="102"/>
        <v>71511774.789999992</v>
      </c>
      <c r="AP34" s="266">
        <f t="shared" ref="AP34:AQ34" si="103">SUM(AP32:AP33)</f>
        <v>67034381</v>
      </c>
      <c r="AQ34" s="266">
        <f t="shared" si="103"/>
        <v>69882147.729999989</v>
      </c>
      <c r="AR34" s="266">
        <f t="shared" ref="AR34:AS34" si="104">SUM(AR32:AR33)</f>
        <v>41396356.730000004</v>
      </c>
      <c r="AS34" s="266">
        <f t="shared" si="104"/>
        <v>35845172</v>
      </c>
      <c r="AT34" s="301"/>
      <c r="AU34" s="266">
        <f t="shared" ref="AU34" si="105">SUM(AU32:AU33)</f>
        <v>32460000</v>
      </c>
      <c r="AV34" s="266">
        <f t="shared" ref="AV34:BF34" si="106">SUM(AV32:AV33)</f>
        <v>1694936.4512000009</v>
      </c>
      <c r="AW34" s="266">
        <f t="shared" si="106"/>
        <v>42400371.281199999</v>
      </c>
      <c r="AX34" s="266">
        <f t="shared" si="106"/>
        <v>43938472.721780002</v>
      </c>
      <c r="AY34" s="266">
        <f t="shared" si="106"/>
        <v>27215889.881219998</v>
      </c>
      <c r="AZ34" s="266">
        <f t="shared" si="106"/>
        <v>18825168.478</v>
      </c>
      <c r="BA34" s="266">
        <f t="shared" si="106"/>
        <v>18846888.850000001</v>
      </c>
      <c r="BB34" s="266">
        <f t="shared" si="106"/>
        <v>18760643.399999999</v>
      </c>
      <c r="BC34" s="266">
        <f t="shared" si="106"/>
        <v>19032761.369999997</v>
      </c>
      <c r="BD34" s="266">
        <f t="shared" si="106"/>
        <v>15672728.92</v>
      </c>
      <c r="BE34" s="266">
        <f t="shared" si="106"/>
        <v>16009813.5</v>
      </c>
      <c r="BF34" s="266">
        <f t="shared" si="106"/>
        <v>17136601.460000001</v>
      </c>
      <c r="BH34" s="266">
        <f t="shared" ref="BH34:BI34" si="107">SUM(BH32:BH33)</f>
        <v>20000000</v>
      </c>
      <c r="BI34" s="266" t="e">
        <f t="shared" si="107"/>
        <v>#REF!</v>
      </c>
      <c r="BJ34" s="266" t="e">
        <f t="shared" ref="BJ34:BK34" si="108">SUM(BJ32:BJ33)</f>
        <v>#REF!</v>
      </c>
      <c r="BK34" s="266" t="e">
        <f t="shared" si="108"/>
        <v>#REF!</v>
      </c>
      <c r="BL34" s="266" t="e">
        <f t="shared" ref="BL34:BM34" si="109">SUM(BL32:BL33)</f>
        <v>#REF!</v>
      </c>
      <c r="BM34" s="266" t="e">
        <f t="shared" si="109"/>
        <v>#REF!</v>
      </c>
      <c r="BN34" s="230"/>
      <c r="BO34" s="266" t="e">
        <f>SUM(BO32:BO33)</f>
        <v>#REF!</v>
      </c>
      <c r="BX34" s="238"/>
    </row>
    <row r="35" spans="2:76">
      <c r="B35" s="192"/>
      <c r="C35" s="258"/>
      <c r="D35" s="230"/>
      <c r="E35" s="230"/>
      <c r="F35" s="209"/>
      <c r="G35" s="230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30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30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7"/>
      <c r="AU35" s="209"/>
      <c r="AV35" s="209"/>
      <c r="AW35" s="209"/>
      <c r="AX35" s="209"/>
      <c r="AY35" s="209"/>
      <c r="AZ35" s="209"/>
      <c r="BA35" s="209"/>
      <c r="BB35" s="209"/>
      <c r="BC35" s="209"/>
      <c r="BD35" s="209"/>
      <c r="BE35" s="209"/>
      <c r="BF35" s="209"/>
      <c r="BH35" s="209"/>
      <c r="BI35" s="209"/>
      <c r="BJ35" s="209"/>
      <c r="BK35" s="209"/>
      <c r="BL35" s="209"/>
      <c r="BM35" s="209"/>
      <c r="BN35" s="230"/>
      <c r="BO35" s="209"/>
    </row>
    <row r="36" spans="2:76" ht="14.25">
      <c r="B36" s="260" t="s">
        <v>61</v>
      </c>
      <c r="C36" s="261"/>
      <c r="D36" s="262"/>
      <c r="E36" s="200"/>
      <c r="F36" s="267">
        <f>+F34+F30</f>
        <v>99032900.898499995</v>
      </c>
      <c r="G36" s="200"/>
      <c r="H36" s="267">
        <f t="shared" ref="H36:I36" si="110">+H34+H30</f>
        <v>96533587.898499995</v>
      </c>
      <c r="I36" s="267">
        <f t="shared" si="110"/>
        <v>103430767.6485</v>
      </c>
      <c r="J36" s="267">
        <f t="shared" ref="J36:K36" si="111">+J34+J30</f>
        <v>85653812.298500001</v>
      </c>
      <c r="K36" s="267">
        <f t="shared" si="111"/>
        <v>95586001.148499995</v>
      </c>
      <c r="L36" s="267">
        <f t="shared" ref="L36:M36" si="112">+L34+L30</f>
        <v>88202407.198500007</v>
      </c>
      <c r="M36" s="267">
        <f t="shared" si="112"/>
        <v>88569171.714000002</v>
      </c>
      <c r="N36" s="267">
        <f t="shared" ref="N36:S36" si="113">+N34+N30</f>
        <v>81501058.363999993</v>
      </c>
      <c r="O36" s="267">
        <f t="shared" si="113"/>
        <v>90867909.813999996</v>
      </c>
      <c r="P36" s="267">
        <f t="shared" si="113"/>
        <v>98784548.976999998</v>
      </c>
      <c r="Q36" s="267">
        <f t="shared" si="113"/>
        <v>108014601.57699999</v>
      </c>
      <c r="R36" s="267">
        <f t="shared" si="113"/>
        <v>82760228.055500001</v>
      </c>
      <c r="S36" s="267">
        <f t="shared" si="113"/>
        <v>55668811.155500002</v>
      </c>
      <c r="T36" s="200"/>
      <c r="U36" s="267">
        <f>+U34+U30</f>
        <v>56952430.943000004</v>
      </c>
      <c r="V36" s="267">
        <f>+V34+V30</f>
        <v>52806576.843000002</v>
      </c>
      <c r="W36" s="267">
        <f>+W34+W30</f>
        <v>52442354.642999999</v>
      </c>
      <c r="X36" s="267">
        <f>+X34+X30</f>
        <v>58592481.943000004</v>
      </c>
      <c r="Y36" s="267">
        <f t="shared" ref="Y36" si="114">+Y34+Y30</f>
        <v>53447824.943000004</v>
      </c>
      <c r="Z36" s="267">
        <f t="shared" ref="Z36:AA36" si="115">+Z34+Z30</f>
        <v>51103401.443000004</v>
      </c>
      <c r="AA36" s="267">
        <f t="shared" si="115"/>
        <v>48032339.699000001</v>
      </c>
      <c r="AB36" s="267">
        <f t="shared" ref="AB36" si="116">+AB34+AB30</f>
        <v>53348838.949000001</v>
      </c>
      <c r="AC36" s="267">
        <f t="shared" ref="AC36" si="117">+AC34+AC30</f>
        <v>49949379.854000002</v>
      </c>
      <c r="AD36" s="267">
        <f t="shared" ref="AD36" si="118">+AD34+AD30</f>
        <v>48569633.153999999</v>
      </c>
      <c r="AE36" s="267">
        <f t="shared" ref="AE36" si="119">+AE34+AE30</f>
        <v>43060351.554000005</v>
      </c>
      <c r="AF36" s="267">
        <f t="shared" ref="AF36" si="120">+AF34+AF30</f>
        <v>38109684.454000004</v>
      </c>
      <c r="AG36" s="200"/>
      <c r="AH36" s="267">
        <f t="shared" ref="AH36:AI36" si="121">+AH34+AH30</f>
        <v>30887356.614</v>
      </c>
      <c r="AI36" s="267">
        <f t="shared" si="121"/>
        <v>56512073.030000001</v>
      </c>
      <c r="AJ36" s="267">
        <f t="shared" ref="AJ36:AK36" si="122">+AJ34+AJ30</f>
        <v>59717224.519999996</v>
      </c>
      <c r="AK36" s="267">
        <f t="shared" si="122"/>
        <v>48151317.969999999</v>
      </c>
      <c r="AL36" s="267">
        <f t="shared" ref="AL36:AM36" si="123">+AL34+AL30</f>
        <v>51570357.230000004</v>
      </c>
      <c r="AM36" s="267">
        <f t="shared" si="123"/>
        <v>52128020.670000002</v>
      </c>
      <c r="AN36" s="267">
        <f t="shared" ref="AN36:AO36" si="124">+AN34+AN30</f>
        <v>90815506.019999996</v>
      </c>
      <c r="AO36" s="267">
        <f t="shared" si="124"/>
        <v>85828258.899999991</v>
      </c>
      <c r="AP36" s="267">
        <f t="shared" ref="AP36:AQ36" si="125">+AP34+AP30</f>
        <v>72804449.049999997</v>
      </c>
      <c r="AQ36" s="267">
        <f t="shared" si="125"/>
        <v>75379246.719999984</v>
      </c>
      <c r="AR36" s="267">
        <f t="shared" ref="AR36:AS36" si="126">+AR34+AR30</f>
        <v>44477471.730000004</v>
      </c>
      <c r="AS36" s="267">
        <f t="shared" si="126"/>
        <v>40396482</v>
      </c>
      <c r="AT36" s="261"/>
      <c r="AU36" s="267">
        <f t="shared" ref="AU36" si="127">+AU34+AU30</f>
        <v>40696637.658759996</v>
      </c>
      <c r="AV36" s="267">
        <f t="shared" ref="AV36:BF36" si="128">+AV34+AV30</f>
        <v>12815216.451200001</v>
      </c>
      <c r="AW36" s="267">
        <f t="shared" si="128"/>
        <v>52295549.281199999</v>
      </c>
      <c r="AX36" s="267">
        <f t="shared" si="128"/>
        <v>51241198.141780004</v>
      </c>
      <c r="AY36" s="267">
        <f t="shared" si="128"/>
        <v>32230702.94122</v>
      </c>
      <c r="AZ36" s="267">
        <f t="shared" si="128"/>
        <v>21892978.158</v>
      </c>
      <c r="BA36" s="267">
        <f t="shared" si="128"/>
        <v>21410785.609999999</v>
      </c>
      <c r="BB36" s="267">
        <f t="shared" si="128"/>
        <v>21691008.609999999</v>
      </c>
      <c r="BC36" s="267">
        <f t="shared" si="128"/>
        <v>21932263.609999999</v>
      </c>
      <c r="BD36" s="267">
        <f t="shared" si="128"/>
        <v>18319381.609999999</v>
      </c>
      <c r="BE36" s="267">
        <f t="shared" si="128"/>
        <v>17290818</v>
      </c>
      <c r="BF36" s="267">
        <f t="shared" si="128"/>
        <v>19019363.440000001</v>
      </c>
      <c r="BH36" s="267">
        <f t="shared" ref="BH36:BI36" si="129">+BH34+BH30</f>
        <v>22240066.160666667</v>
      </c>
      <c r="BI36" s="267" t="e">
        <f t="shared" si="129"/>
        <v>#REF!</v>
      </c>
      <c r="BJ36" s="267" t="e">
        <f t="shared" ref="BJ36:BK36" si="130">+BJ34+BJ30</f>
        <v>#REF!</v>
      </c>
      <c r="BK36" s="267" t="e">
        <f t="shared" si="130"/>
        <v>#REF!</v>
      </c>
      <c r="BL36" s="267" t="e">
        <f t="shared" ref="BL36:BM36" si="131">+BL34+BL30</f>
        <v>#REF!</v>
      </c>
      <c r="BM36" s="267" t="e">
        <f t="shared" si="131"/>
        <v>#REF!</v>
      </c>
      <c r="BN36" s="200"/>
      <c r="BO36" s="267" t="e">
        <f t="shared" ref="BO36" si="132">+BO34+BO30</f>
        <v>#REF!</v>
      </c>
    </row>
    <row r="37" spans="2:76">
      <c r="B37" s="194"/>
      <c r="C37" s="258"/>
      <c r="D37" s="230"/>
      <c r="E37" s="230"/>
      <c r="F37" s="209"/>
      <c r="G37" s="230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30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30"/>
      <c r="AH37" s="209"/>
      <c r="AI37" s="209"/>
      <c r="AJ37" s="209"/>
      <c r="AK37" s="209"/>
      <c r="AL37" s="209"/>
      <c r="AM37" s="209"/>
      <c r="AN37" s="209"/>
      <c r="AO37" s="209"/>
      <c r="AP37" s="209"/>
      <c r="AQ37" s="209"/>
      <c r="AR37" s="209"/>
      <c r="AS37" s="209"/>
      <c r="AT37" s="207"/>
      <c r="AU37" s="209"/>
      <c r="AV37" s="209"/>
      <c r="AW37" s="209"/>
      <c r="AX37" s="209"/>
      <c r="AY37" s="209"/>
      <c r="AZ37" s="209"/>
      <c r="BA37" s="209"/>
      <c r="BB37" s="209"/>
      <c r="BC37" s="209"/>
      <c r="BD37" s="209"/>
      <c r="BE37" s="209"/>
      <c r="BF37" s="209"/>
      <c r="BH37" s="209"/>
      <c r="BI37" s="209"/>
      <c r="BJ37" s="209"/>
      <c r="BK37" s="209"/>
      <c r="BL37" s="209"/>
      <c r="BM37" s="209"/>
      <c r="BN37" s="230"/>
      <c r="BO37" s="209"/>
    </row>
    <row r="38" spans="2:76" ht="14.25">
      <c r="B38" s="245" t="s">
        <v>62</v>
      </c>
      <c r="C38" s="258"/>
      <c r="D38" s="264"/>
      <c r="E38" s="230"/>
      <c r="F38" s="265"/>
      <c r="G38" s="230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30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30"/>
      <c r="AH38" s="265"/>
      <c r="AI38" s="265"/>
      <c r="AJ38" s="265"/>
      <c r="AK38" s="265"/>
      <c r="AL38" s="265"/>
      <c r="AM38" s="265"/>
      <c r="AN38" s="265"/>
      <c r="AO38" s="265"/>
      <c r="AP38" s="265"/>
      <c r="AQ38" s="265"/>
      <c r="AR38" s="265"/>
      <c r="AS38" s="265"/>
      <c r="AT38" s="207"/>
      <c r="AU38" s="265"/>
      <c r="AV38" s="265"/>
      <c r="AW38" s="265"/>
      <c r="AX38" s="265"/>
      <c r="AY38" s="265"/>
      <c r="AZ38" s="265"/>
      <c r="BA38" s="265"/>
      <c r="BB38" s="265"/>
      <c r="BC38" s="265"/>
      <c r="BD38" s="265"/>
      <c r="BE38" s="265"/>
      <c r="BF38" s="265"/>
      <c r="BH38" s="265"/>
      <c r="BI38" s="265"/>
      <c r="BJ38" s="265"/>
      <c r="BK38" s="265"/>
      <c r="BL38" s="265"/>
      <c r="BM38" s="265"/>
      <c r="BN38" s="230"/>
      <c r="BO38" s="265"/>
    </row>
    <row r="39" spans="2:76">
      <c r="B39" s="230"/>
      <c r="C39" s="258"/>
      <c r="D39" s="230"/>
      <c r="E39" s="230"/>
      <c r="F39" s="209"/>
      <c r="G39" s="230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30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30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7"/>
      <c r="AU39" s="209"/>
      <c r="AV39" s="209"/>
      <c r="AW39" s="209"/>
      <c r="AX39" s="209"/>
      <c r="AY39" s="209"/>
      <c r="AZ39" s="209"/>
      <c r="BA39" s="209"/>
      <c r="BB39" s="209"/>
      <c r="BC39" s="209"/>
      <c r="BD39" s="209"/>
      <c r="BE39" s="209"/>
      <c r="BF39" s="209"/>
      <c r="BH39" s="209"/>
      <c r="BI39" s="209"/>
      <c r="BJ39" s="209"/>
      <c r="BK39" s="209"/>
      <c r="BL39" s="209"/>
      <c r="BM39" s="209"/>
      <c r="BN39" s="230"/>
      <c r="BO39" s="209"/>
    </row>
    <row r="40" spans="2:76" ht="15">
      <c r="B40" s="192" t="s">
        <v>63</v>
      </c>
      <c r="C40" s="248"/>
      <c r="D40" s="250">
        <v>12</v>
      </c>
      <c r="E40" s="251"/>
      <c r="F40" s="249">
        <f>+'NOTAS ESF'!B131</f>
        <v>2000000</v>
      </c>
      <c r="G40" s="251"/>
      <c r="H40" s="249">
        <f>+'NOTAS ESF'!D131</f>
        <v>2000000</v>
      </c>
      <c r="I40" s="249">
        <f>+'NOTAS ESF'!E131</f>
        <v>2000000</v>
      </c>
      <c r="J40" s="249">
        <f>+'NOTAS ESF'!F131</f>
        <v>2000000</v>
      </c>
      <c r="K40" s="249">
        <f>+'NOTAS ESF'!G131</f>
        <v>2000000</v>
      </c>
      <c r="L40" s="249">
        <f>+'NOTAS ESF'!H131</f>
        <v>2000000</v>
      </c>
      <c r="M40" s="249">
        <f>+'NOTAS ESF'!I131</f>
        <v>2000000</v>
      </c>
      <c r="N40" s="249">
        <f>+'NOTAS ESF'!J131</f>
        <v>2000000</v>
      </c>
      <c r="O40" s="249">
        <f>+'NOTAS ESF'!K131</f>
        <v>2000000</v>
      </c>
      <c r="P40" s="249">
        <f>+'NOTAS ESF'!L131</f>
        <v>2000000</v>
      </c>
      <c r="Q40" s="249">
        <f>+'NOTAS ESF'!M131</f>
        <v>2000000</v>
      </c>
      <c r="R40" s="249">
        <f>+'NOTAS ESF'!N131</f>
        <v>2000000</v>
      </c>
      <c r="S40" s="249">
        <f>+'NOTAS ESF'!O131</f>
        <v>2000000</v>
      </c>
      <c r="T40" s="251"/>
      <c r="U40" s="249">
        <f>+'NOTAS ESF'!Q131</f>
        <v>2000000</v>
      </c>
      <c r="V40" s="249">
        <f>+'NOTAS ESF'!R131</f>
        <v>2000000</v>
      </c>
      <c r="W40" s="249">
        <f>+'NOTAS ESF'!S131</f>
        <v>2000000</v>
      </c>
      <c r="X40" s="249">
        <f>+'NOTAS ESF'!T131</f>
        <v>2000000</v>
      </c>
      <c r="Y40" s="249">
        <f>+'NOTAS ESF'!U131</f>
        <v>2000000</v>
      </c>
      <c r="Z40" s="249">
        <f>+'NOTAS ESF'!V131</f>
        <v>2000000</v>
      </c>
      <c r="AA40" s="249">
        <f>+'NOTAS ESF'!W131</f>
        <v>2000000</v>
      </c>
      <c r="AB40" s="249">
        <f>+'NOTAS ESF'!X131</f>
        <v>2000000</v>
      </c>
      <c r="AC40" s="249">
        <f>+'NOTAS ESF'!Y131</f>
        <v>2000000</v>
      </c>
      <c r="AD40" s="249">
        <f>+'NOTAS ESF'!Z131</f>
        <v>2000000</v>
      </c>
      <c r="AE40" s="249">
        <f>+'NOTAS ESF'!AA131</f>
        <v>2000000</v>
      </c>
      <c r="AF40" s="249">
        <f>+'NOTAS ESF'!AB131</f>
        <v>2000000</v>
      </c>
      <c r="AG40" s="251"/>
      <c r="AH40" s="249">
        <f>+'NOTAS ESF'!AD131</f>
        <v>2000000</v>
      </c>
      <c r="AI40" s="249">
        <f>+'NOTAS ESF'!AE131</f>
        <v>2000000</v>
      </c>
      <c r="AJ40" s="249">
        <f>+'NOTAS ESF'!AF131</f>
        <v>2000000</v>
      </c>
      <c r="AK40" s="249">
        <f>+'NOTAS ESF'!AG131</f>
        <v>2000000</v>
      </c>
      <c r="AL40" s="249">
        <f>+'NOTAS ESF'!AH131</f>
        <v>2000000</v>
      </c>
      <c r="AM40" s="249">
        <f>+'NOTAS ESF'!AI131</f>
        <v>2000000</v>
      </c>
      <c r="AN40" s="249">
        <f>+'NOTAS ESF'!AJ131</f>
        <v>2000000</v>
      </c>
      <c r="AO40" s="249">
        <f>+'NOTAS ESF'!AK131</f>
        <v>2000000</v>
      </c>
      <c r="AP40" s="249">
        <f>+'NOTAS ESF'!AL131</f>
        <v>2000000</v>
      </c>
      <c r="AQ40" s="249">
        <f>+'NOTAS ESF'!AM131</f>
        <v>2000000</v>
      </c>
      <c r="AR40" s="249">
        <f>+'NOTAS ESF'!AN131</f>
        <v>2000000</v>
      </c>
      <c r="AS40" s="249">
        <f>+'NOTAS ESF'!AO131</f>
        <v>2000000</v>
      </c>
      <c r="AT40" s="249"/>
      <c r="AU40" s="249">
        <f>+'NOTAS ESF'!AQ131</f>
        <v>2000000</v>
      </c>
      <c r="AV40" s="249">
        <f>+'NOTAS ESF'!AR131</f>
        <v>2000000</v>
      </c>
      <c r="AW40" s="249">
        <f>+'NOTAS ESF'!AS131</f>
        <v>2000000</v>
      </c>
      <c r="AX40" s="249">
        <f>+'NOTAS ESF'!AT131</f>
        <v>2000000</v>
      </c>
      <c r="AY40" s="249">
        <f>+'NOTAS ESF'!AU131</f>
        <v>2000000</v>
      </c>
      <c r="AZ40" s="249">
        <f>+'NOTAS ESF'!AV131</f>
        <v>2000000</v>
      </c>
      <c r="BA40" s="249">
        <f>+'NOTAS ESF'!AW131</f>
        <v>2000000</v>
      </c>
      <c r="BB40" s="249">
        <f>+'NOTAS ESF'!AX131</f>
        <v>2000000</v>
      </c>
      <c r="BC40" s="249">
        <f>+'NOTAS ESF'!AY131</f>
        <v>2000000</v>
      </c>
      <c r="BD40" s="249">
        <f>+'NOTAS ESF'!AZ131</f>
        <v>2000000</v>
      </c>
      <c r="BE40" s="249">
        <f>+'NOTAS ESF'!BA131</f>
        <v>2000000</v>
      </c>
      <c r="BF40" s="249">
        <f>+'NOTAS ESF'!BB131</f>
        <v>2000000</v>
      </c>
      <c r="BH40" s="249">
        <f>+'NOTAS ESF'!BD131</f>
        <v>2000000</v>
      </c>
      <c r="BI40" s="249">
        <f>+'NOTAS ESF'!BE131</f>
        <v>0</v>
      </c>
      <c r="BJ40" s="249">
        <f>+'NOTAS ESF'!BF131</f>
        <v>0</v>
      </c>
      <c r="BK40" s="249">
        <f>+'NOTAS ESF'!BG131</f>
        <v>0</v>
      </c>
      <c r="BL40" s="249">
        <f>+'NOTAS ESF'!BH131</f>
        <v>0</v>
      </c>
      <c r="BM40" s="249">
        <f>+'NOTAS ESF'!BI131</f>
        <v>0</v>
      </c>
      <c r="BN40" s="251"/>
      <c r="BO40" s="249">
        <f>+'NOTAS ESF'!BK131</f>
        <v>2000000</v>
      </c>
    </row>
    <row r="41" spans="2:76" ht="15" hidden="1" customHeight="1">
      <c r="B41" s="192" t="s">
        <v>64</v>
      </c>
      <c r="C41" s="248"/>
      <c r="D41" s="250"/>
      <c r="E41" s="251"/>
      <c r="F41" s="249"/>
      <c r="G41" s="251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51"/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51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49"/>
      <c r="BE41" s="249"/>
      <c r="BF41" s="249"/>
      <c r="BH41" s="249"/>
      <c r="BI41" s="249"/>
      <c r="BJ41" s="249"/>
      <c r="BK41" s="249"/>
      <c r="BL41" s="249"/>
      <c r="BM41" s="249"/>
      <c r="BN41" s="251"/>
      <c r="BO41" s="249"/>
    </row>
    <row r="42" spans="2:76" ht="15" customHeight="1">
      <c r="B42" s="192" t="s">
        <v>65</v>
      </c>
      <c r="C42" s="248"/>
      <c r="D42" s="250">
        <v>13</v>
      </c>
      <c r="E42" s="251"/>
      <c r="F42" s="249">
        <f>+'NOTAS ESF'!B133</f>
        <v>129048</v>
      </c>
      <c r="G42" s="251"/>
      <c r="H42" s="249">
        <f>+'NOTAS ESF'!D133</f>
        <v>129048</v>
      </c>
      <c r="I42" s="249">
        <f>+'NOTAS ESF'!E133</f>
        <v>129048</v>
      </c>
      <c r="J42" s="249">
        <f>+'NOTAS ESF'!F133</f>
        <v>129048</v>
      </c>
      <c r="K42" s="249">
        <f>+'NOTAS ESF'!G133</f>
        <v>129048</v>
      </c>
      <c r="L42" s="249">
        <f>+'NOTAS ESF'!H133</f>
        <v>129048</v>
      </c>
      <c r="M42" s="249">
        <f>+'NOTAS ESF'!I133</f>
        <v>129048</v>
      </c>
      <c r="N42" s="249">
        <f>+'NOTAS ESF'!J133</f>
        <v>129048</v>
      </c>
      <c r="O42" s="249">
        <f>+'NOTAS ESF'!K133</f>
        <v>129048</v>
      </c>
      <c r="P42" s="249">
        <f>+'NOTAS ESF'!L133</f>
        <v>129048</v>
      </c>
      <c r="Q42" s="249">
        <f>+'NOTAS ESF'!M133</f>
        <v>129048</v>
      </c>
      <c r="R42" s="249">
        <f>+'NOTAS ESF'!N133</f>
        <v>129048</v>
      </c>
      <c r="S42" s="249">
        <f>+'NOTAS ESF'!O133</f>
        <v>129048</v>
      </c>
      <c r="T42" s="251"/>
      <c r="U42" s="249">
        <f>+'NOTAS ESF'!Q133</f>
        <v>129048</v>
      </c>
      <c r="V42" s="249">
        <f>+'NOTAS ESF'!R133</f>
        <v>129048</v>
      </c>
      <c r="W42" s="249">
        <f>+'NOTAS ESF'!S133</f>
        <v>129048</v>
      </c>
      <c r="X42" s="249">
        <f>+'NOTAS ESF'!T133</f>
        <v>129048</v>
      </c>
      <c r="Y42" s="249">
        <f>+'NOTAS ESF'!U133</f>
        <v>129048</v>
      </c>
      <c r="Z42" s="249">
        <f>+'NOTAS ESF'!V133</f>
        <v>129048</v>
      </c>
      <c r="AA42" s="249">
        <f>+'NOTAS ESF'!W133</f>
        <v>129048</v>
      </c>
      <c r="AB42" s="249">
        <f>+'NOTAS ESF'!X133</f>
        <v>129048</v>
      </c>
      <c r="AC42" s="249">
        <f>+'NOTAS ESF'!Y133</f>
        <v>129048</v>
      </c>
      <c r="AD42" s="249">
        <f>+'NOTAS ESF'!Z133</f>
        <v>129048</v>
      </c>
      <c r="AE42" s="249">
        <f>+'NOTAS ESF'!AA133</f>
        <v>129048</v>
      </c>
      <c r="AF42" s="249">
        <f>+'NOTAS ESF'!AB133</f>
        <v>129048</v>
      </c>
      <c r="AG42" s="251"/>
      <c r="AH42" s="249">
        <v>129048</v>
      </c>
      <c r="AI42" s="249">
        <f>+'NOTAS ESF'!AE133</f>
        <v>117317</v>
      </c>
      <c r="AJ42" s="249">
        <f>+'NOTAS ESF'!AF133</f>
        <v>117317</v>
      </c>
      <c r="AK42" s="249">
        <f>+'NOTAS ESF'!AG133</f>
        <v>117317</v>
      </c>
      <c r="AL42" s="249">
        <f>+'NOTAS ESF'!AH133</f>
        <v>117317</v>
      </c>
      <c r="AM42" s="249">
        <f>+'NOTAS ESF'!AI133</f>
        <v>117317</v>
      </c>
      <c r="AN42" s="249">
        <f>+'NOTAS ESF'!AJ133</f>
        <v>117317</v>
      </c>
      <c r="AO42" s="249">
        <f>+'NOTAS ESF'!AK133</f>
        <v>117317</v>
      </c>
      <c r="AP42" s="249">
        <f>+'NOTAS ESF'!AL133</f>
        <v>117317</v>
      </c>
      <c r="AQ42" s="249">
        <f>+'NOTAS ESF'!AM133</f>
        <v>117317</v>
      </c>
      <c r="AR42" s="249">
        <f>+'NOTAS ESF'!AN133</f>
        <v>117317</v>
      </c>
      <c r="AS42" s="249">
        <f>+'NOTAS ESF'!AO133</f>
        <v>117317</v>
      </c>
      <c r="AT42" s="249"/>
      <c r="AU42" s="249">
        <f>+'NOTAS ESF'!AQ133</f>
        <v>106651.5</v>
      </c>
      <c r="AV42" s="249">
        <f>+'NOTAS ESF'!AR133</f>
        <v>106651.5</v>
      </c>
      <c r="AW42" s="249">
        <f>+'NOTAS ESF'!AS133</f>
        <v>106651.5</v>
      </c>
      <c r="AX42" s="249">
        <f>+'NOTAS ESF'!AT133</f>
        <v>106651.5</v>
      </c>
      <c r="AY42" s="249">
        <f>+'NOTAS ESF'!AU133</f>
        <v>106651.5</v>
      </c>
      <c r="AZ42" s="249">
        <f>+'NOTAS ESF'!AV133</f>
        <v>106651.5</v>
      </c>
      <c r="BA42" s="249">
        <f>+'NOTAS ESF'!AW133</f>
        <v>106651.5</v>
      </c>
      <c r="BB42" s="249">
        <f>+'NOTAS ESF'!AX133</f>
        <v>106651.5</v>
      </c>
      <c r="BC42" s="249">
        <f>+'NOTAS ESF'!AY133</f>
        <v>106651.5</v>
      </c>
      <c r="BD42" s="249">
        <f>+'NOTAS ESF'!AZ133</f>
        <v>106651.5</v>
      </c>
      <c r="BE42" s="249">
        <f>+'NOTAS ESF'!BA133</f>
        <v>106651.5</v>
      </c>
      <c r="BF42" s="249">
        <f>+'NOTAS ESF'!BB133</f>
        <v>0</v>
      </c>
      <c r="BH42" s="249">
        <f>+'NOTAS ESF'!BD133</f>
        <v>0</v>
      </c>
      <c r="BI42" s="249">
        <f>+'NOTAS ESF'!BE133</f>
        <v>0</v>
      </c>
      <c r="BJ42" s="249">
        <f>+'NOTAS ESF'!BF133</f>
        <v>0</v>
      </c>
      <c r="BK42" s="249">
        <f>+'NOTAS ESF'!BG133</f>
        <v>0</v>
      </c>
      <c r="BL42" s="249">
        <f>+'NOTAS ESF'!BH133</f>
        <v>0</v>
      </c>
      <c r="BM42" s="249">
        <f>+'NOTAS ESF'!BI133</f>
        <v>0</v>
      </c>
      <c r="BN42" s="251"/>
      <c r="BO42" s="249">
        <f>+'NOTAS ESF'!BK133</f>
        <v>0</v>
      </c>
    </row>
    <row r="43" spans="2:76" ht="15" hidden="1" customHeight="1">
      <c r="B43" s="192" t="s">
        <v>66</v>
      </c>
      <c r="C43" s="248"/>
      <c r="D43" s="250"/>
      <c r="E43" s="251"/>
      <c r="F43" s="249"/>
      <c r="G43" s="251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51"/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51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49"/>
      <c r="BE43" s="249"/>
      <c r="BF43" s="249"/>
      <c r="BH43" s="249"/>
      <c r="BI43" s="249"/>
      <c r="BJ43" s="249"/>
      <c r="BK43" s="249"/>
      <c r="BL43" s="249"/>
      <c r="BM43" s="249"/>
      <c r="BN43" s="251"/>
      <c r="BO43" s="249"/>
    </row>
    <row r="44" spans="2:76" ht="15" customHeight="1">
      <c r="B44" s="192" t="s">
        <v>67</v>
      </c>
      <c r="C44" s="248"/>
      <c r="D44" s="250">
        <v>12</v>
      </c>
      <c r="E44" s="251"/>
      <c r="F44" s="249">
        <f>+H44+H45</f>
        <v>47201867.918020055</v>
      </c>
      <c r="G44" s="251"/>
      <c r="H44" s="249">
        <f t="shared" ref="H44:L44" si="133">+I44</f>
        <v>15274235.876520051</v>
      </c>
      <c r="I44" s="249">
        <f t="shared" si="133"/>
        <v>15274235.876520051</v>
      </c>
      <c r="J44" s="249">
        <f t="shared" si="133"/>
        <v>15274235.876520051</v>
      </c>
      <c r="K44" s="249">
        <f t="shared" si="133"/>
        <v>15274235.876520051</v>
      </c>
      <c r="L44" s="249">
        <f t="shared" si="133"/>
        <v>15274235.876520051</v>
      </c>
      <c r="M44" s="249">
        <f t="shared" ref="M44:R44" si="134">+N44</f>
        <v>15274235.876520051</v>
      </c>
      <c r="N44" s="249">
        <f t="shared" si="134"/>
        <v>15274235.876520051</v>
      </c>
      <c r="O44" s="249">
        <f t="shared" si="134"/>
        <v>15274235.876520051</v>
      </c>
      <c r="P44" s="249">
        <f t="shared" si="134"/>
        <v>15274235.876520051</v>
      </c>
      <c r="Q44" s="249">
        <f t="shared" si="134"/>
        <v>15274235.876520051</v>
      </c>
      <c r="R44" s="249">
        <f t="shared" si="134"/>
        <v>15274235.876520051</v>
      </c>
      <c r="S44" s="249">
        <f>+U44+U45</f>
        <v>15274235.876520051</v>
      </c>
      <c r="T44" s="251"/>
      <c r="U44" s="249">
        <f>+'NOTAS ESF'!Q135</f>
        <v>7057643.6095200516</v>
      </c>
      <c r="V44" s="249">
        <f>+'NOTAS ESF'!R135</f>
        <v>7057643.6095200516</v>
      </c>
      <c r="W44" s="249">
        <f>+'NOTAS ESF'!S135</f>
        <v>7057643.6095200516</v>
      </c>
      <c r="X44" s="249">
        <f>+'NOTAS ESF'!T135</f>
        <v>7057643.6095200516</v>
      </c>
      <c r="Y44" s="249">
        <f>+'NOTAS ESF'!U135</f>
        <v>7057643.6095200516</v>
      </c>
      <c r="Z44" s="249">
        <f>+'NOTAS ESF'!V135</f>
        <v>7057643.6095200516</v>
      </c>
      <c r="AA44" s="249">
        <f>+'NOTAS ESF'!W135</f>
        <v>7057643.6095200516</v>
      </c>
      <c r="AB44" s="249">
        <f>+AC44</f>
        <v>7057643.6095200516</v>
      </c>
      <c r="AC44" s="249">
        <f>+AD44</f>
        <v>7057643.6095200516</v>
      </c>
      <c r="AD44" s="249">
        <f>+AE44</f>
        <v>7057643.6095200516</v>
      </c>
      <c r="AE44" s="249">
        <f>+AF44</f>
        <v>7057643.6095200516</v>
      </c>
      <c r="AF44" s="249">
        <f>+AH44+AH45</f>
        <v>7057643.6095200516</v>
      </c>
      <c r="AG44" s="251"/>
      <c r="AH44" s="249">
        <f>+AU45+AU42+AU44-AH42</f>
        <v>1228743.4935200512</v>
      </c>
      <c r="AI44" s="249">
        <f>+'NOTAS ESF'!AE135</f>
        <v>1114604.8441679999</v>
      </c>
      <c r="AJ44" s="249">
        <f>+'NOTAS ESF'!AF135</f>
        <v>1114604.8441679999</v>
      </c>
      <c r="AK44" s="249">
        <f>+'NOTAS ESF'!AG135</f>
        <v>1114604.8441679999</v>
      </c>
      <c r="AL44" s="249">
        <f>+'NOTAS ESF'!AH135</f>
        <v>1114604.8441679999</v>
      </c>
      <c r="AM44" s="249">
        <f>+'NOTAS ESF'!AI135</f>
        <v>1114604.8441679999</v>
      </c>
      <c r="AN44" s="249">
        <f>+'NOTAS ESF'!AJ135</f>
        <v>1240474.4935200512</v>
      </c>
      <c r="AO44" s="249">
        <f>+'NOTAS ESF'!AK135</f>
        <v>1240474.4935200512</v>
      </c>
      <c r="AP44" s="249">
        <f>+'NOTAS ESF'!AL135</f>
        <v>1240474.4935200512</v>
      </c>
      <c r="AQ44" s="249">
        <f>+'NOTAS ESF'!AM135</f>
        <v>1240474.4935200512</v>
      </c>
      <c r="AR44" s="249">
        <f>+'NOTAS ESF'!AN135</f>
        <v>1240474.4935200512</v>
      </c>
      <c r="AS44" s="249">
        <f>+'NOTAS ESF'!AO135</f>
        <v>1240474.4935200512</v>
      </c>
      <c r="AT44" s="249"/>
      <c r="AU44" s="249">
        <f>+'NOTAS ESF'!AQ135</f>
        <v>960703.5</v>
      </c>
      <c r="AV44" s="249">
        <f>+'NOTAS ESF'!AR135</f>
        <v>960703.5</v>
      </c>
      <c r="AW44" s="249">
        <f>+'NOTAS ESF'!AS135</f>
        <v>960703.5</v>
      </c>
      <c r="AX44" s="249">
        <f>+'NOTAS ESF'!AT135</f>
        <v>960703.5</v>
      </c>
      <c r="AY44" s="249">
        <f>+'NOTAS ESF'!AU135</f>
        <v>960703.5</v>
      </c>
      <c r="AZ44" s="249">
        <f>+'NOTAS ESF'!AV135</f>
        <v>960703.5</v>
      </c>
      <c r="BA44" s="249">
        <f>+'NOTAS ESF'!AW135</f>
        <v>960703.5</v>
      </c>
      <c r="BB44" s="249">
        <f>+'NOTAS ESF'!AX135</f>
        <v>960703.5</v>
      </c>
      <c r="BC44" s="249">
        <f>+'NOTAS ESF'!AY135</f>
        <v>960703.5</v>
      </c>
      <c r="BD44" s="249">
        <f>+'NOTAS ESF'!AZ135</f>
        <v>960703.5</v>
      </c>
      <c r="BE44" s="249">
        <f>+'NOTAS ESF'!BA135</f>
        <v>960703.5</v>
      </c>
      <c r="BF44" s="249">
        <f>+'NOTAS ESF'!BB135</f>
        <v>1066515</v>
      </c>
      <c r="BH44" s="249">
        <f>+'NOTAS ESF'!BD135</f>
        <v>0</v>
      </c>
      <c r="BI44" s="249">
        <f>+'NOTAS ESF'!BE135</f>
        <v>0</v>
      </c>
      <c r="BJ44" s="249">
        <f>+'NOTAS ESF'!BF135</f>
        <v>0</v>
      </c>
      <c r="BK44" s="249">
        <f>+'NOTAS ESF'!BG135</f>
        <v>0</v>
      </c>
      <c r="BL44" s="249">
        <f>+'NOTAS ESF'!BH135</f>
        <v>0</v>
      </c>
      <c r="BM44" s="249">
        <f>+'NOTAS ESF'!BI135</f>
        <v>0</v>
      </c>
      <c r="BN44" s="251"/>
      <c r="BO44" s="249">
        <f>+'NOTAS ESF'!BK135</f>
        <v>0</v>
      </c>
    </row>
    <row r="45" spans="2:76" ht="15">
      <c r="B45" s="192" t="s">
        <v>68</v>
      </c>
      <c r="C45" s="248"/>
      <c r="D45" s="250">
        <v>12</v>
      </c>
      <c r="E45" s="251"/>
      <c r="F45" s="249">
        <f>+ERI!Q51</f>
        <v>-7746505</v>
      </c>
      <c r="G45" s="251"/>
      <c r="H45" s="249">
        <f>+ERI!T51+I45</f>
        <v>31927632.041500002</v>
      </c>
      <c r="I45" s="249">
        <f>+ERI!U51+J45</f>
        <v>25819078.291500002</v>
      </c>
      <c r="J45" s="249">
        <f>+ERI!V51+K45</f>
        <v>18292155.641500004</v>
      </c>
      <c r="K45" s="249">
        <f>+ERI!W51+L45</f>
        <v>8635424.7915000021</v>
      </c>
      <c r="L45" s="249">
        <f>+ERI!X51+M45</f>
        <v>-1915776.2584999995</v>
      </c>
      <c r="M45" s="249">
        <f>+ERI!Y51+N45</f>
        <v>-4678299.4440000011</v>
      </c>
      <c r="N45" s="249">
        <f>+ERI!Z51+O45</f>
        <v>-5461225.0940000014</v>
      </c>
      <c r="O45" s="249">
        <f>+ERI!AA51+P45</f>
        <v>-6347508.5440000016</v>
      </c>
      <c r="P45" s="249">
        <f>+ERI!AB51+Q45</f>
        <v>-5363060.7940000016</v>
      </c>
      <c r="Q45" s="249">
        <f>+ERI!AC51+R45</f>
        <v>-4929422.3940000013</v>
      </c>
      <c r="R45" s="249">
        <f>+ERI!AD51+S45</f>
        <v>-7076854.3625000007</v>
      </c>
      <c r="S45" s="249">
        <f>+ERI!AE51</f>
        <v>-4014765.4624999999</v>
      </c>
      <c r="T45" s="251"/>
      <c r="U45" s="249">
        <f>+V45+ERI!AH51</f>
        <v>8216592.2669999991</v>
      </c>
      <c r="V45" s="249">
        <f>+W45+ERI!AI51</f>
        <v>6650062.3669999996</v>
      </c>
      <c r="W45" s="249">
        <f>+X45+ERI!AJ51</f>
        <v>4866090.5669999998</v>
      </c>
      <c r="X45" s="249">
        <f>+ERI!AK51+ERI!AL51+ERI!AM51+ERI!AN51+ERI!AO51+ERI!AP51+ERI!AQ51+ERI!AR51+ERI!AS51</f>
        <v>3498580.2669999995</v>
      </c>
      <c r="Y45" s="249">
        <f>+ERI!AS51+ERI!AR51+ERI!AQ51+ERI!AP51+ERI!AO51+ERI!AN51+ERI!AM51+ERI!AL51</f>
        <v>3214748.0169999995</v>
      </c>
      <c r="Z45" s="249">
        <f>+ERI!AS51+ERI!AR51+ERI!AQ51+ERI!AP51+ERI!AO51+ERI!AN51+ERI!AM51</f>
        <v>2296135.5169999995</v>
      </c>
      <c r="AA45" s="249">
        <f>+ERI!AS51+ERI!AR51+ERI!AQ51+ERI!AP51+ERI!AO51+ERI!AN51</f>
        <v>542079.42099999962</v>
      </c>
      <c r="AB45" s="249">
        <f>+ERI!AS51+ERI!AR51+ERI!AQ51+ERI!AP51+ERI!AO51</f>
        <v>953136.17099999962</v>
      </c>
      <c r="AC45" s="249">
        <f>+AD45+ERI!AP51</f>
        <v>153512.44999999972</v>
      </c>
      <c r="AD45" s="249">
        <f>+ERI!AS51+ERI!AR51+ERI!AQ51</f>
        <v>1460856.15</v>
      </c>
      <c r="AE45" s="249">
        <f>+ERI!AS51+ERI!AR51</f>
        <v>459221.75</v>
      </c>
      <c r="AF45" s="249">
        <f>+ERI!AS51</f>
        <v>1130992.8500000001</v>
      </c>
      <c r="AG45" s="251"/>
      <c r="AH45" s="249">
        <f>+ERI!AU51</f>
        <v>5828900.1160000004</v>
      </c>
      <c r="AI45" s="249">
        <f>+AJ45+ERI!AW51</f>
        <v>9929259.6399999987</v>
      </c>
      <c r="AJ45" s="249">
        <f>+AK45+ERI!AX51</f>
        <v>8668729.7199999988</v>
      </c>
      <c r="AK45" s="249">
        <f>+AL45+ERI!AY51</f>
        <v>3595128.7199999997</v>
      </c>
      <c r="AL45" s="249">
        <f>+AM45+ERI!AZ51</f>
        <v>7061106.7199999997</v>
      </c>
      <c r="AM45" s="249">
        <f>+AN45+ERI!BA51</f>
        <v>8009431.8599999994</v>
      </c>
      <c r="AN45" s="249">
        <f>+AO45+ERI!BB51</f>
        <v>8816965.8599999994</v>
      </c>
      <c r="AO45" s="249">
        <f>+AP45+ERI!BC51</f>
        <v>9048605.8599999994</v>
      </c>
      <c r="AP45" s="249">
        <f>+AQ45+ERI!BD47</f>
        <v>-26187562.140000001</v>
      </c>
      <c r="AQ45" s="249">
        <f>+AR45+ERI!BE51</f>
        <v>-23085128.870000001</v>
      </c>
      <c r="AR45" s="249">
        <f>+AS45+ERI!BF51</f>
        <v>-11531481.780000001</v>
      </c>
      <c r="AS45" s="249">
        <f>+ERI!BG51</f>
        <v>-6522272</v>
      </c>
      <c r="AT45" s="249"/>
      <c r="AU45" s="249">
        <f>+ERI!BI51</f>
        <v>290436.49352005124</v>
      </c>
      <c r="AV45" s="249">
        <f>+'NOTAS ERI'!BH179</f>
        <v>-5354177.4512000009</v>
      </c>
      <c r="AW45" s="249">
        <f>+'NOTAS ERI'!BI179</f>
        <v>-5366628.4512000009</v>
      </c>
      <c r="AX45" s="249">
        <f>+'NOTAS ERI'!BJ179</f>
        <v>9843075.6882199999</v>
      </c>
      <c r="AY45" s="249">
        <f>+'NOTAS ERI'!BK179</f>
        <v>6161651.3187800003</v>
      </c>
      <c r="AZ45" s="249" t="e">
        <f>+ERI!BO51</f>
        <v>#REF!</v>
      </c>
      <c r="BA45" s="249" t="e">
        <f>+ERI!BP51</f>
        <v>#REF!</v>
      </c>
      <c r="BB45" s="249" t="e">
        <f>+ERI!BQ51</f>
        <v>#REF!</v>
      </c>
      <c r="BC45" s="249" t="e">
        <f>+ERI!BR51</f>
        <v>#REF!</v>
      </c>
      <c r="BD45" s="249">
        <f>+'NOTAS ERI'!BP175</f>
        <v>2369930</v>
      </c>
      <c r="BE45" s="249" t="e">
        <f>+ERI!BT51</f>
        <v>#REF!</v>
      </c>
      <c r="BF45" s="249" t="e">
        <f>+ERI!BU51</f>
        <v>#REF!</v>
      </c>
      <c r="BH45" s="249">
        <f>+ERI!BW51</f>
        <v>1066515</v>
      </c>
      <c r="BI45" s="249" t="e">
        <f>+ERI!#REF!+ERI!#REF!+ERI!#REF!+ERI!#REF!+ERI!CC47+ERI!CB47+ERI!CA47+ERI!BZ47+ERI!BY47</f>
        <v>#REF!</v>
      </c>
      <c r="BJ45" s="249" t="e">
        <f>+ERI!#REF!+ERI!#REF!+ERI!#REF!+ERI!#REF!+ERI!CC47+ERI!CB47+ERI!CA47+ERI!BZ47</f>
        <v>#REF!</v>
      </c>
      <c r="BK45" s="249" t="e">
        <f>+ERI!#REF!+ERI!#REF!+ERI!#REF!+ERI!#REF!+ERI!CC47+ERI!CB47+ERI!CA47</f>
        <v>#REF!</v>
      </c>
      <c r="BL45" s="249" t="e">
        <f>+'NOTAS ERI'!#REF!+'NOTAS ERI'!#REF!+'NOTAS ERI'!#REF!+'NOTAS ERI'!#REF!+'NOTAS ERI'!BZ175+'NOTAS ERI'!BY175</f>
        <v>#REF!</v>
      </c>
      <c r="BM45" s="249" t="e">
        <f>+'NOTAS ERI'!#REF!+'NOTAS ERI'!#REF!+'NOTAS ERI'!#REF!+'NOTAS ERI'!#REF!+'NOTAS ERI'!BZ175</f>
        <v>#REF!</v>
      </c>
      <c r="BN45" s="251"/>
      <c r="BO45" s="249">
        <f>+'NOTAS ESF'!BK134</f>
        <v>0</v>
      </c>
    </row>
    <row r="46" spans="2:76">
      <c r="B46" s="192"/>
      <c r="C46" s="258"/>
      <c r="D46" s="230"/>
      <c r="E46" s="230"/>
      <c r="F46" s="207"/>
      <c r="G46" s="230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30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30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07"/>
      <c r="BC46" s="207"/>
      <c r="BD46" s="207"/>
      <c r="BE46" s="207"/>
      <c r="BF46" s="207"/>
      <c r="BH46" s="207"/>
      <c r="BI46" s="207"/>
      <c r="BJ46" s="207"/>
      <c r="BK46" s="207"/>
      <c r="BL46" s="207"/>
      <c r="BM46" s="207"/>
      <c r="BN46" s="230"/>
      <c r="BO46" s="207"/>
    </row>
    <row r="47" spans="2:76" ht="14.25">
      <c r="B47" s="260" t="s">
        <v>69</v>
      </c>
      <c r="C47" s="261"/>
      <c r="D47" s="262"/>
      <c r="E47" s="200"/>
      <c r="F47" s="268">
        <f t="shared" ref="F47:H47" si="135">SUM(F40:F46)</f>
        <v>41584410.918020055</v>
      </c>
      <c r="G47" s="200"/>
      <c r="H47" s="268">
        <f t="shared" si="135"/>
        <v>49330915.918020055</v>
      </c>
      <c r="I47" s="268">
        <f t="shared" ref="I47:J47" si="136">SUM(I40:I46)</f>
        <v>43222362.168020055</v>
      </c>
      <c r="J47" s="268">
        <f t="shared" si="136"/>
        <v>35695439.518020056</v>
      </c>
      <c r="K47" s="268">
        <f t="shared" ref="K47:L47" si="137">SUM(K40:K46)</f>
        <v>26038708.668020055</v>
      </c>
      <c r="L47" s="268">
        <f t="shared" si="137"/>
        <v>15487507.618020054</v>
      </c>
      <c r="M47" s="268">
        <f t="shared" ref="M47:S47" si="138">SUM(M40:M46)</f>
        <v>12724984.432520051</v>
      </c>
      <c r="N47" s="268">
        <f t="shared" si="138"/>
        <v>11942058.782520052</v>
      </c>
      <c r="O47" s="268">
        <f t="shared" si="138"/>
        <v>11055775.332520051</v>
      </c>
      <c r="P47" s="268">
        <f t="shared" si="138"/>
        <v>12040223.082520051</v>
      </c>
      <c r="Q47" s="268">
        <f t="shared" si="138"/>
        <v>12473861.482520051</v>
      </c>
      <c r="R47" s="268">
        <f t="shared" si="138"/>
        <v>10326429.514020052</v>
      </c>
      <c r="S47" s="268">
        <f t="shared" si="138"/>
        <v>13388518.414020052</v>
      </c>
      <c r="T47" s="200"/>
      <c r="U47" s="268">
        <f>SUM(U40:U46)</f>
        <v>17403283.876520053</v>
      </c>
      <c r="V47" s="268">
        <f>SUM(V40:V46)</f>
        <v>15836753.97652005</v>
      </c>
      <c r="W47" s="268">
        <f>SUM(W40:W46)</f>
        <v>14052782.176520051</v>
      </c>
      <c r="X47" s="268">
        <f>SUM(X40:X46)</f>
        <v>12685271.876520051</v>
      </c>
      <c r="Y47" s="268">
        <f t="shared" ref="Y47" si="139">SUM(Y40:Y46)</f>
        <v>12401439.626520051</v>
      </c>
      <c r="Z47" s="268">
        <f t="shared" ref="Z47:AA47" si="140">SUM(Z40:Z46)</f>
        <v>11482827.126520051</v>
      </c>
      <c r="AA47" s="268">
        <f t="shared" si="140"/>
        <v>9728771.0305200517</v>
      </c>
      <c r="AB47" s="268">
        <f t="shared" ref="AB47" si="141">SUM(AB40:AB46)</f>
        <v>10139827.780520052</v>
      </c>
      <c r="AC47" s="268">
        <f t="shared" ref="AC47" si="142">SUM(AC40:AC46)</f>
        <v>9340204.0595200509</v>
      </c>
      <c r="AD47" s="268">
        <f t="shared" ref="AD47" si="143">SUM(AD40:AD46)</f>
        <v>10647547.759520052</v>
      </c>
      <c r="AE47" s="268">
        <f t="shared" ref="AE47" si="144">SUM(AE40:AE46)</f>
        <v>9645913.3595200516</v>
      </c>
      <c r="AF47" s="268">
        <f t="shared" ref="AF47" si="145">SUM(AF40:AF46)</f>
        <v>10317684.459520051</v>
      </c>
      <c r="AG47" s="200"/>
      <c r="AH47" s="268">
        <f t="shared" ref="AH47:AS47" si="146">SUM(AH40:AH46)</f>
        <v>9186691.6095200516</v>
      </c>
      <c r="AI47" s="268">
        <f t="shared" si="146"/>
        <v>13161181.484167999</v>
      </c>
      <c r="AJ47" s="268">
        <f t="shared" si="146"/>
        <v>11900651.564167999</v>
      </c>
      <c r="AK47" s="268">
        <f t="shared" si="146"/>
        <v>6827050.5641679997</v>
      </c>
      <c r="AL47" s="268">
        <f t="shared" si="146"/>
        <v>10293028.564167999</v>
      </c>
      <c r="AM47" s="268">
        <f t="shared" si="146"/>
        <v>11241353.704167999</v>
      </c>
      <c r="AN47" s="268">
        <f t="shared" si="146"/>
        <v>12174757.353520051</v>
      </c>
      <c r="AO47" s="268">
        <f t="shared" si="146"/>
        <v>12406397.353520051</v>
      </c>
      <c r="AP47" s="268">
        <f t="shared" si="146"/>
        <v>-22829770.646479949</v>
      </c>
      <c r="AQ47" s="268">
        <f t="shared" si="146"/>
        <v>-19727337.37647995</v>
      </c>
      <c r="AR47" s="268">
        <f t="shared" si="146"/>
        <v>-8173690.28647995</v>
      </c>
      <c r="AS47" s="268">
        <f t="shared" si="146"/>
        <v>-3164480.5064799488</v>
      </c>
      <c r="AT47" s="191"/>
      <c r="AU47" s="268">
        <f t="shared" ref="AU47:BF47" si="147">SUM(AU40:AU46)</f>
        <v>3357791.4935200512</v>
      </c>
      <c r="AV47" s="268">
        <f t="shared" si="147"/>
        <v>-2286822.4512000009</v>
      </c>
      <c r="AW47" s="268">
        <f t="shared" si="147"/>
        <v>-2299273.4512000009</v>
      </c>
      <c r="AX47" s="268">
        <f t="shared" si="147"/>
        <v>12910430.68822</v>
      </c>
      <c r="AY47" s="268">
        <f t="shared" si="147"/>
        <v>9229006.3187800013</v>
      </c>
      <c r="AZ47" s="268" t="e">
        <f t="shared" si="147"/>
        <v>#REF!</v>
      </c>
      <c r="BA47" s="268" t="e">
        <f t="shared" si="147"/>
        <v>#REF!</v>
      </c>
      <c r="BB47" s="268" t="e">
        <f t="shared" si="147"/>
        <v>#REF!</v>
      </c>
      <c r="BC47" s="268" t="e">
        <f t="shared" si="147"/>
        <v>#REF!</v>
      </c>
      <c r="BD47" s="268">
        <f t="shared" si="147"/>
        <v>5437285</v>
      </c>
      <c r="BE47" s="268" t="e">
        <f t="shared" si="147"/>
        <v>#REF!</v>
      </c>
      <c r="BF47" s="268" t="e">
        <f t="shared" si="147"/>
        <v>#REF!</v>
      </c>
      <c r="BH47" s="268">
        <f t="shared" ref="BH47:BM47" si="148">SUM(BH40:BH46)</f>
        <v>3066515</v>
      </c>
      <c r="BI47" s="268" t="e">
        <f t="shared" si="148"/>
        <v>#REF!</v>
      </c>
      <c r="BJ47" s="268" t="e">
        <f t="shared" si="148"/>
        <v>#REF!</v>
      </c>
      <c r="BK47" s="268" t="e">
        <f t="shared" si="148"/>
        <v>#REF!</v>
      </c>
      <c r="BL47" s="268" t="e">
        <f t="shared" si="148"/>
        <v>#REF!</v>
      </c>
      <c r="BM47" s="268" t="e">
        <f t="shared" si="148"/>
        <v>#REF!</v>
      </c>
      <c r="BN47" s="200"/>
      <c r="BO47" s="268">
        <f>SUM(BO40:BO46)</f>
        <v>2000000</v>
      </c>
    </row>
    <row r="48" spans="2:76">
      <c r="B48" s="194"/>
      <c r="C48" s="258"/>
      <c r="D48" s="230"/>
      <c r="E48" s="230"/>
      <c r="F48" s="209"/>
      <c r="G48" s="230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30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30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7"/>
      <c r="AU48" s="209"/>
      <c r="AV48" s="209"/>
      <c r="AW48" s="209"/>
      <c r="AX48" s="209"/>
      <c r="AY48" s="209"/>
      <c r="AZ48" s="209"/>
      <c r="BA48" s="209"/>
      <c r="BB48" s="209"/>
      <c r="BC48" s="209"/>
      <c r="BD48" s="209"/>
      <c r="BE48" s="209"/>
      <c r="BF48" s="209"/>
      <c r="BH48" s="209"/>
      <c r="BI48" s="209"/>
      <c r="BJ48" s="209"/>
      <c r="BK48" s="209"/>
      <c r="BL48" s="209"/>
      <c r="BM48" s="209"/>
      <c r="BN48" s="230"/>
      <c r="BO48" s="209"/>
    </row>
    <row r="49" spans="1:68" ht="15" thickBot="1">
      <c r="B49" s="260" t="s">
        <v>70</v>
      </c>
      <c r="C49" s="191"/>
      <c r="D49" s="262"/>
      <c r="E49" s="200"/>
      <c r="F49" s="269">
        <f t="shared" ref="F49" si="149">F36+F47</f>
        <v>140617311.81652004</v>
      </c>
      <c r="G49" s="200"/>
      <c r="H49" s="269">
        <f t="shared" ref="H49:I49" si="150">H36+H47</f>
        <v>145864503.81652004</v>
      </c>
      <c r="I49" s="269">
        <f t="shared" si="150"/>
        <v>146653129.81652004</v>
      </c>
      <c r="J49" s="269">
        <f t="shared" ref="J49:K49" si="151">J36+J47</f>
        <v>121349251.81652007</v>
      </c>
      <c r="K49" s="269">
        <f t="shared" si="151"/>
        <v>121624709.81652005</v>
      </c>
      <c r="L49" s="269">
        <f t="shared" ref="L49:M49" si="152">L36+L47</f>
        <v>103689914.81652007</v>
      </c>
      <c r="M49" s="269">
        <f t="shared" si="152"/>
        <v>101294156.14652005</v>
      </c>
      <c r="N49" s="269">
        <f t="shared" ref="N49:S49" si="153">N36+N47</f>
        <v>93443117.146520048</v>
      </c>
      <c r="O49" s="269">
        <f t="shared" si="153"/>
        <v>101923685.14652005</v>
      </c>
      <c r="P49" s="269">
        <f t="shared" si="153"/>
        <v>110824772.05952005</v>
      </c>
      <c r="Q49" s="269">
        <f t="shared" si="153"/>
        <v>120488463.05952004</v>
      </c>
      <c r="R49" s="269">
        <f t="shared" si="153"/>
        <v>93086657.569520056</v>
      </c>
      <c r="S49" s="269">
        <f t="shared" si="153"/>
        <v>69057329.569520056</v>
      </c>
      <c r="T49" s="200"/>
      <c r="U49" s="269">
        <f>U36+U47</f>
        <v>74355714.819520056</v>
      </c>
      <c r="V49" s="269">
        <f>V36+V47</f>
        <v>68643330.819520056</v>
      </c>
      <c r="W49" s="269">
        <f>W36+W47</f>
        <v>66495136.819520049</v>
      </c>
      <c r="X49" s="269">
        <f>X36+X47</f>
        <v>71277753.819520056</v>
      </c>
      <c r="Y49" s="269">
        <f t="shared" ref="Y49" si="154">Y36+Y47</f>
        <v>65849264.569520056</v>
      </c>
      <c r="Z49" s="269">
        <f t="shared" ref="Z49:AA49" si="155">Z36+Z47</f>
        <v>62586228.569520056</v>
      </c>
      <c r="AA49" s="269">
        <f t="shared" si="155"/>
        <v>57761110.729520053</v>
      </c>
      <c r="AB49" s="269">
        <f t="shared" ref="AB49" si="156">AB36+AB47</f>
        <v>63488666.729520053</v>
      </c>
      <c r="AC49" s="269">
        <f t="shared" ref="AC49" si="157">AC36+AC47</f>
        <v>59289583.913520053</v>
      </c>
      <c r="AD49" s="269">
        <f t="shared" ref="AD49" si="158">AD36+AD47</f>
        <v>59217180.913520053</v>
      </c>
      <c r="AE49" s="269">
        <f t="shared" ref="AE49" si="159">AE36+AE47</f>
        <v>52706264.913520053</v>
      </c>
      <c r="AF49" s="269">
        <f t="shared" ref="AF49" si="160">AF36+AF47</f>
        <v>48427368.913520053</v>
      </c>
      <c r="AG49" s="200"/>
      <c r="AH49" s="269">
        <f t="shared" ref="AH49:AS49" si="161">AH36+AH47</f>
        <v>40074048.223520055</v>
      </c>
      <c r="AI49" s="269">
        <f t="shared" si="161"/>
        <v>69673254.514167994</v>
      </c>
      <c r="AJ49" s="269">
        <f t="shared" si="161"/>
        <v>71617876.084167987</v>
      </c>
      <c r="AK49" s="269">
        <f t="shared" si="161"/>
        <v>54978368.534167998</v>
      </c>
      <c r="AL49" s="269">
        <f t="shared" si="161"/>
        <v>61863385.794168003</v>
      </c>
      <c r="AM49" s="269">
        <f t="shared" si="161"/>
        <v>63369374.374168001</v>
      </c>
      <c r="AN49" s="269">
        <f t="shared" si="161"/>
        <v>102990263.37352005</v>
      </c>
      <c r="AO49" s="269">
        <f t="shared" si="161"/>
        <v>98234656.253520042</v>
      </c>
      <c r="AP49" s="269">
        <f t="shared" si="161"/>
        <v>49974678.403520048</v>
      </c>
      <c r="AQ49" s="269">
        <f t="shared" si="161"/>
        <v>55651909.34352003</v>
      </c>
      <c r="AR49" s="269">
        <f t="shared" si="161"/>
        <v>36303781.443520054</v>
      </c>
      <c r="AS49" s="269">
        <f t="shared" si="161"/>
        <v>37232001.493520051</v>
      </c>
      <c r="AT49" s="191"/>
      <c r="AU49" s="269">
        <f t="shared" ref="AU49" si="162">AU36+AU47</f>
        <v>44054429.152280048</v>
      </c>
      <c r="AV49" s="269">
        <f t="shared" ref="AV49:BF49" si="163">AV36+AV47</f>
        <v>10528394</v>
      </c>
      <c r="AW49" s="269">
        <f t="shared" si="163"/>
        <v>49996275.829999998</v>
      </c>
      <c r="AX49" s="269">
        <f t="shared" si="163"/>
        <v>64151628.830000006</v>
      </c>
      <c r="AY49" s="269">
        <f t="shared" si="163"/>
        <v>41459709.260000005</v>
      </c>
      <c r="AZ49" s="269" t="e">
        <f t="shared" si="163"/>
        <v>#REF!</v>
      </c>
      <c r="BA49" s="269" t="e">
        <f t="shared" si="163"/>
        <v>#REF!</v>
      </c>
      <c r="BB49" s="269" t="e">
        <f t="shared" si="163"/>
        <v>#REF!</v>
      </c>
      <c r="BC49" s="269" t="e">
        <f t="shared" si="163"/>
        <v>#REF!</v>
      </c>
      <c r="BD49" s="269">
        <f t="shared" si="163"/>
        <v>23756666.609999999</v>
      </c>
      <c r="BE49" s="269" t="e">
        <f t="shared" si="163"/>
        <v>#REF!</v>
      </c>
      <c r="BF49" s="269" t="e">
        <f t="shared" si="163"/>
        <v>#REF!</v>
      </c>
      <c r="BH49" s="269">
        <f t="shared" ref="BH49:BM49" si="164">BH36+BH47</f>
        <v>25306581.160666667</v>
      </c>
      <c r="BI49" s="269" t="e">
        <f t="shared" si="164"/>
        <v>#REF!</v>
      </c>
      <c r="BJ49" s="269" t="e">
        <f t="shared" si="164"/>
        <v>#REF!</v>
      </c>
      <c r="BK49" s="269" t="e">
        <f t="shared" si="164"/>
        <v>#REF!</v>
      </c>
      <c r="BL49" s="269" t="e">
        <f t="shared" si="164"/>
        <v>#REF!</v>
      </c>
      <c r="BM49" s="269" t="e">
        <f t="shared" si="164"/>
        <v>#REF!</v>
      </c>
      <c r="BN49" s="200"/>
      <c r="BO49" s="269" t="e">
        <f>BO36+BO47</f>
        <v>#REF!</v>
      </c>
    </row>
    <row r="50" spans="1:68" s="236" customFormat="1" ht="15" thickTop="1">
      <c r="B50" s="270"/>
      <c r="C50" s="271"/>
      <c r="D50" s="272"/>
      <c r="E50" s="272"/>
      <c r="F50" s="273"/>
      <c r="G50" s="272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2"/>
      <c r="U50" s="273"/>
      <c r="V50" s="273"/>
      <c r="W50" s="273"/>
      <c r="X50" s="273"/>
      <c r="Y50" s="273"/>
      <c r="Z50" s="273"/>
      <c r="AA50" s="273"/>
      <c r="AB50" s="273"/>
      <c r="AC50" s="273"/>
      <c r="AD50" s="273"/>
      <c r="AE50" s="273"/>
      <c r="AF50" s="273"/>
      <c r="AG50" s="272"/>
      <c r="AH50" s="273"/>
      <c r="AI50" s="273"/>
      <c r="AJ50" s="273"/>
      <c r="AK50" s="273"/>
      <c r="AL50" s="273"/>
      <c r="AM50" s="273"/>
      <c r="AN50" s="273"/>
      <c r="AO50" s="273"/>
      <c r="AP50" s="273"/>
      <c r="AQ50" s="273"/>
      <c r="AR50" s="273"/>
      <c r="AS50" s="273"/>
      <c r="AT50" s="273"/>
      <c r="AU50" s="273"/>
      <c r="AV50" s="273"/>
      <c r="AW50" s="273"/>
      <c r="AX50" s="273"/>
      <c r="AY50" s="273"/>
      <c r="AZ50" s="273"/>
      <c r="BA50" s="273"/>
      <c r="BB50" s="273"/>
      <c r="BC50" s="273"/>
      <c r="BD50" s="273"/>
      <c r="BE50" s="273"/>
      <c r="BF50" s="273"/>
      <c r="BG50" s="243"/>
      <c r="BH50" s="273"/>
      <c r="BI50" s="273"/>
      <c r="BJ50" s="273"/>
      <c r="BK50" s="273"/>
      <c r="BL50" s="273"/>
      <c r="BM50" s="273"/>
      <c r="BN50" s="272"/>
      <c r="BO50" s="273"/>
    </row>
    <row r="51" spans="1:68" s="237" customFormat="1">
      <c r="A51" s="274"/>
      <c r="B51" s="275"/>
      <c r="C51" s="275"/>
      <c r="D51" s="276"/>
      <c r="E51" s="276"/>
      <c r="F51" s="275">
        <f>+F19-F49</f>
        <v>0</v>
      </c>
      <c r="G51" s="276"/>
      <c r="H51" s="275">
        <f>+H19-H49</f>
        <v>0</v>
      </c>
      <c r="I51" s="275">
        <f>+I19-I49</f>
        <v>0</v>
      </c>
      <c r="J51" s="275">
        <f t="shared" ref="J51:N51" si="165">+J19-J49</f>
        <v>0</v>
      </c>
      <c r="K51" s="275">
        <f t="shared" si="165"/>
        <v>0</v>
      </c>
      <c r="L51" s="275">
        <f t="shared" si="165"/>
        <v>0</v>
      </c>
      <c r="M51" s="275">
        <f t="shared" si="165"/>
        <v>0</v>
      </c>
      <c r="N51" s="275">
        <f t="shared" si="165"/>
        <v>0</v>
      </c>
      <c r="O51" s="275">
        <f t="shared" ref="O51" si="166">+O19-O49</f>
        <v>0</v>
      </c>
      <c r="P51" s="275">
        <f t="shared" ref="P51:Q51" si="167">+P19-P49</f>
        <v>0</v>
      </c>
      <c r="Q51" s="275">
        <f t="shared" si="167"/>
        <v>0</v>
      </c>
      <c r="R51" s="275">
        <f t="shared" ref="R51:S51" si="168">+R19-R49</f>
        <v>0</v>
      </c>
      <c r="S51" s="275">
        <f t="shared" si="168"/>
        <v>0</v>
      </c>
      <c r="T51" s="276"/>
      <c r="U51" s="275">
        <f t="shared" ref="U51:AF51" si="169">+U19-U49</f>
        <v>0</v>
      </c>
      <c r="V51" s="275">
        <f t="shared" si="169"/>
        <v>0</v>
      </c>
      <c r="W51" s="275">
        <f t="shared" si="169"/>
        <v>0</v>
      </c>
      <c r="X51" s="275">
        <f t="shared" si="169"/>
        <v>0</v>
      </c>
      <c r="Y51" s="275">
        <f>+Y19-Y49</f>
        <v>0</v>
      </c>
      <c r="Z51" s="275">
        <f t="shared" si="169"/>
        <v>0</v>
      </c>
      <c r="AA51" s="275">
        <f t="shared" si="169"/>
        <v>0</v>
      </c>
      <c r="AB51" s="275">
        <f t="shared" si="169"/>
        <v>0</v>
      </c>
      <c r="AC51" s="275">
        <f>+AC19-AC49</f>
        <v>0</v>
      </c>
      <c r="AD51" s="275">
        <f>+AD19-AD49</f>
        <v>0</v>
      </c>
      <c r="AE51" s="275">
        <f>+AE19-AE49</f>
        <v>0</v>
      </c>
      <c r="AF51" s="275">
        <f t="shared" si="169"/>
        <v>0</v>
      </c>
      <c r="AG51" s="276"/>
      <c r="AH51" s="275">
        <f t="shared" ref="AH51:AS51" si="170">+AH19-AH49</f>
        <v>-0.47352005541324615</v>
      </c>
      <c r="AI51" s="275" t="e">
        <f t="shared" si="170"/>
        <v>#REF!</v>
      </c>
      <c r="AJ51" s="275" t="e">
        <f t="shared" si="170"/>
        <v>#REF!</v>
      </c>
      <c r="AK51" s="275" t="e">
        <f t="shared" si="170"/>
        <v>#REF!</v>
      </c>
      <c r="AL51" s="275" t="e">
        <f t="shared" si="170"/>
        <v>#REF!</v>
      </c>
      <c r="AM51" s="275" t="e">
        <f t="shared" si="170"/>
        <v>#REF!</v>
      </c>
      <c r="AN51" s="275" t="e">
        <f t="shared" si="170"/>
        <v>#REF!</v>
      </c>
      <c r="AO51" s="275" t="e">
        <f t="shared" si="170"/>
        <v>#REF!</v>
      </c>
      <c r="AP51" s="275" t="e">
        <f t="shared" si="170"/>
        <v>#REF!</v>
      </c>
      <c r="AQ51" s="275" t="e">
        <f t="shared" si="170"/>
        <v>#REF!</v>
      </c>
      <c r="AR51" s="275" t="e">
        <f t="shared" si="170"/>
        <v>#REF!</v>
      </c>
      <c r="AS51" s="275" t="e">
        <f t="shared" si="170"/>
        <v>#REF!</v>
      </c>
      <c r="AT51" s="275"/>
      <c r="AU51" s="275">
        <f t="shared" ref="AU51:BF51" si="171">+AU19-AU49</f>
        <v>0</v>
      </c>
      <c r="AV51" s="275">
        <f t="shared" si="171"/>
        <v>0</v>
      </c>
      <c r="AW51" s="275">
        <f t="shared" si="171"/>
        <v>0</v>
      </c>
      <c r="AX51" s="275">
        <f t="shared" si="171"/>
        <v>0</v>
      </c>
      <c r="AY51" s="275">
        <f t="shared" si="171"/>
        <v>0</v>
      </c>
      <c r="AZ51" s="275" t="e">
        <f t="shared" si="171"/>
        <v>#REF!</v>
      </c>
      <c r="BA51" s="275" t="e">
        <f t="shared" si="171"/>
        <v>#REF!</v>
      </c>
      <c r="BB51" s="275" t="e">
        <f t="shared" si="171"/>
        <v>#REF!</v>
      </c>
      <c r="BC51" s="275" t="e">
        <f t="shared" si="171"/>
        <v>#REF!</v>
      </c>
      <c r="BD51" s="275">
        <f t="shared" si="171"/>
        <v>0</v>
      </c>
      <c r="BE51" s="275" t="e">
        <f t="shared" si="171"/>
        <v>#REF!</v>
      </c>
      <c r="BF51" s="275" t="e">
        <f t="shared" si="171"/>
        <v>#REF!</v>
      </c>
      <c r="BG51" s="243"/>
      <c r="BH51" s="275">
        <f t="shared" ref="BH51:BM51" si="172">+BH19-BH49</f>
        <v>3.3527612686157227E-8</v>
      </c>
      <c r="BI51" s="275" t="e">
        <f t="shared" si="172"/>
        <v>#REF!</v>
      </c>
      <c r="BJ51" s="275" t="e">
        <f t="shared" si="172"/>
        <v>#REF!</v>
      </c>
      <c r="BK51" s="275" t="e">
        <f t="shared" si="172"/>
        <v>#REF!</v>
      </c>
      <c r="BL51" s="275" t="e">
        <f t="shared" si="172"/>
        <v>#REF!</v>
      </c>
      <c r="BM51" s="275" t="e">
        <f t="shared" si="172"/>
        <v>#REF!</v>
      </c>
      <c r="BN51" s="276"/>
      <c r="BO51" s="275" t="e">
        <f>+BO19-BO49</f>
        <v>#REF!</v>
      </c>
    </row>
    <row r="52" spans="1:68" s="236" customFormat="1" ht="13.5" hidden="1" customHeight="1">
      <c r="B52" s="277"/>
      <c r="C52" s="278"/>
      <c r="D52" s="279"/>
      <c r="E52" s="280"/>
      <c r="F52" s="281"/>
      <c r="G52" s="280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0"/>
      <c r="U52" s="281"/>
      <c r="V52" s="281"/>
      <c r="W52" s="281"/>
      <c r="X52" s="281"/>
      <c r="Y52" s="281"/>
      <c r="Z52" s="281"/>
      <c r="AA52" s="281"/>
      <c r="AB52" s="281"/>
      <c r="AC52" s="281"/>
      <c r="AD52" s="281"/>
      <c r="AE52" s="281"/>
      <c r="AF52" s="281"/>
      <c r="AG52" s="280"/>
      <c r="AH52" s="281"/>
      <c r="AI52" s="281"/>
      <c r="AJ52" s="281"/>
      <c r="AK52" s="281"/>
      <c r="AL52" s="281"/>
      <c r="AM52" s="281"/>
      <c r="AN52" s="281"/>
      <c r="AO52" s="281"/>
      <c r="AP52" s="281"/>
      <c r="AQ52" s="281"/>
      <c r="AR52" s="281"/>
      <c r="AS52" s="281"/>
      <c r="AT52" s="302"/>
      <c r="AU52" s="281"/>
      <c r="AV52" s="281"/>
      <c r="AW52" s="281"/>
      <c r="AX52" s="281"/>
      <c r="AY52" s="281"/>
      <c r="AZ52" s="281"/>
      <c r="BA52" s="281"/>
      <c r="BB52" s="281"/>
      <c r="BC52" s="281"/>
      <c r="BD52" s="281"/>
      <c r="BE52" s="281"/>
      <c r="BF52" s="281"/>
      <c r="BG52" s="243"/>
      <c r="BH52" s="281"/>
      <c r="BI52" s="281"/>
      <c r="BJ52" s="281"/>
      <c r="BK52" s="281"/>
      <c r="BL52" s="281"/>
      <c r="BM52" s="281"/>
      <c r="BN52" s="280"/>
      <c r="BO52" s="281"/>
    </row>
    <row r="53" spans="1:68" s="238" customFormat="1" ht="15.75" hidden="1" customHeight="1">
      <c r="B53" s="282" t="s">
        <v>71</v>
      </c>
      <c r="C53" s="283"/>
      <c r="D53" s="284"/>
      <c r="E53" s="284"/>
      <c r="F53" s="281"/>
      <c r="G53" s="284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4"/>
      <c r="U53" s="281"/>
      <c r="V53" s="281"/>
      <c r="W53" s="281"/>
      <c r="X53" s="281"/>
      <c r="Y53" s="281"/>
      <c r="Z53" s="281"/>
      <c r="AA53" s="281"/>
      <c r="AB53" s="281"/>
      <c r="AC53" s="281"/>
      <c r="AD53" s="281"/>
      <c r="AE53" s="281"/>
      <c r="AF53" s="281"/>
      <c r="AG53" s="284"/>
      <c r="AH53" s="281"/>
      <c r="AI53" s="281"/>
      <c r="AJ53" s="281"/>
      <c r="AK53" s="281"/>
      <c r="AL53" s="281"/>
      <c r="AM53" s="281"/>
      <c r="AN53" s="281"/>
      <c r="AO53" s="281"/>
      <c r="AP53" s="281"/>
      <c r="AQ53" s="281"/>
      <c r="AR53" s="281"/>
      <c r="AS53" s="281"/>
      <c r="AT53" s="302"/>
      <c r="AU53" s="281"/>
      <c r="AV53" s="281"/>
      <c r="AW53" s="281"/>
      <c r="AX53" s="281"/>
      <c r="AY53" s="281"/>
      <c r="AZ53" s="281"/>
      <c r="BA53" s="281"/>
      <c r="BB53" s="281"/>
      <c r="BC53" s="281"/>
      <c r="BD53" s="281"/>
      <c r="BE53" s="281"/>
      <c r="BF53" s="281"/>
      <c r="BG53" s="243"/>
      <c r="BH53" s="281"/>
      <c r="BI53" s="281"/>
      <c r="BJ53" s="281"/>
      <c r="BK53" s="281"/>
      <c r="BL53" s="281"/>
      <c r="BM53" s="281"/>
      <c r="BN53" s="284"/>
      <c r="BO53" s="281"/>
    </row>
    <row r="54" spans="1:68" s="238" customFormat="1" ht="12.75" hidden="1" customHeight="1">
      <c r="B54" s="193" t="s">
        <v>71</v>
      </c>
      <c r="C54" s="285"/>
      <c r="D54" s="279"/>
      <c r="E54" s="280"/>
      <c r="F54" s="281"/>
      <c r="G54" s="280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0"/>
      <c r="U54" s="281"/>
      <c r="V54" s="281"/>
      <c r="W54" s="281"/>
      <c r="X54" s="281"/>
      <c r="Y54" s="281"/>
      <c r="Z54" s="281"/>
      <c r="AA54" s="281"/>
      <c r="AB54" s="281"/>
      <c r="AC54" s="281"/>
      <c r="AD54" s="281"/>
      <c r="AE54" s="281"/>
      <c r="AF54" s="281"/>
      <c r="AG54" s="280"/>
      <c r="AH54" s="281"/>
      <c r="AI54" s="281"/>
      <c r="AJ54" s="281"/>
      <c r="AK54" s="281"/>
      <c r="AL54" s="281"/>
      <c r="AM54" s="281"/>
      <c r="AN54" s="281"/>
      <c r="AO54" s="281"/>
      <c r="AP54" s="281"/>
      <c r="AQ54" s="281"/>
      <c r="AR54" s="281"/>
      <c r="AS54" s="281"/>
      <c r="AT54" s="302"/>
      <c r="AU54" s="281"/>
      <c r="AV54" s="281"/>
      <c r="AW54" s="281"/>
      <c r="AX54" s="281"/>
      <c r="AY54" s="281"/>
      <c r="AZ54" s="281"/>
      <c r="BA54" s="281"/>
      <c r="BB54" s="281"/>
      <c r="BC54" s="281"/>
      <c r="BD54" s="281"/>
      <c r="BE54" s="281"/>
      <c r="BF54" s="281"/>
      <c r="BG54" s="243"/>
      <c r="BH54" s="281"/>
      <c r="BI54" s="281"/>
      <c r="BJ54" s="281"/>
      <c r="BK54" s="281"/>
      <c r="BL54" s="281"/>
      <c r="BM54" s="281"/>
      <c r="BN54" s="280"/>
      <c r="BO54" s="281"/>
    </row>
    <row r="55" spans="1:68" s="238" customFormat="1" ht="12.75" hidden="1" customHeight="1">
      <c r="B55" s="193"/>
      <c r="C55" s="286"/>
      <c r="D55" s="193"/>
      <c r="E55" s="193"/>
      <c r="F55" s="281"/>
      <c r="G55" s="193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193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193"/>
      <c r="AH55" s="281"/>
      <c r="AI55" s="281"/>
      <c r="AJ55" s="281"/>
      <c r="AK55" s="281"/>
      <c r="AL55" s="281"/>
      <c r="AM55" s="281"/>
      <c r="AN55" s="281"/>
      <c r="AO55" s="281"/>
      <c r="AP55" s="281"/>
      <c r="AQ55" s="281"/>
      <c r="AR55" s="281"/>
      <c r="AS55" s="281"/>
      <c r="AT55" s="302"/>
      <c r="AU55" s="281"/>
      <c r="AV55" s="281"/>
      <c r="AW55" s="281"/>
      <c r="AX55" s="281"/>
      <c r="AY55" s="281"/>
      <c r="AZ55" s="281"/>
      <c r="BA55" s="281"/>
      <c r="BB55" s="281"/>
      <c r="BC55" s="281"/>
      <c r="BD55" s="281"/>
      <c r="BE55" s="281"/>
      <c r="BF55" s="281"/>
      <c r="BG55" s="243"/>
      <c r="BH55" s="281"/>
      <c r="BI55" s="281"/>
      <c r="BJ55" s="281"/>
      <c r="BK55" s="281"/>
      <c r="BL55" s="281"/>
      <c r="BM55" s="281"/>
      <c r="BN55" s="193"/>
      <c r="BO55" s="281"/>
    </row>
    <row r="56" spans="1:68" s="238" customFormat="1">
      <c r="C56" s="287"/>
      <c r="D56" s="288"/>
      <c r="E56" s="288"/>
      <c r="F56" s="289"/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8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8"/>
      <c r="AH56" s="289"/>
      <c r="AI56" s="289"/>
      <c r="AJ56" s="289"/>
      <c r="AK56" s="289"/>
      <c r="AL56" s="289"/>
      <c r="AM56" s="289"/>
      <c r="AN56" s="289"/>
      <c r="AO56" s="289"/>
      <c r="AP56" s="289"/>
      <c r="AQ56" s="289"/>
      <c r="AR56" s="289"/>
      <c r="AS56" s="289"/>
      <c r="AT56" s="302"/>
      <c r="AU56" s="289"/>
      <c r="AV56" s="289"/>
      <c r="AW56" s="289"/>
      <c r="AX56" s="289"/>
      <c r="AY56" s="289"/>
      <c r="AZ56" s="289"/>
      <c r="BA56" s="289"/>
      <c r="BB56" s="289"/>
      <c r="BC56" s="289"/>
      <c r="BD56" s="289"/>
      <c r="BE56" s="289"/>
      <c r="BF56" s="289"/>
      <c r="BG56" s="243"/>
      <c r="BH56" s="289"/>
      <c r="BI56" s="289"/>
      <c r="BJ56" s="289"/>
      <c r="BK56" s="289"/>
      <c r="BL56" s="289"/>
      <c r="BM56" s="289"/>
      <c r="BN56" s="288"/>
      <c r="BO56" s="289"/>
    </row>
    <row r="57" spans="1:68">
      <c r="AT57" s="299"/>
    </row>
    <row r="58" spans="1:68" ht="15.75">
      <c r="B58" s="290" t="s">
        <v>72</v>
      </c>
      <c r="C58" s="291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  <c r="Z58" s="292"/>
      <c r="AA58" s="292"/>
      <c r="AB58" s="292"/>
      <c r="AC58" s="292"/>
      <c r="AD58" s="292"/>
      <c r="AE58" s="292"/>
      <c r="AF58" s="292"/>
      <c r="AG58" s="292"/>
      <c r="AH58" s="292"/>
      <c r="AI58" s="292"/>
      <c r="AJ58" s="292"/>
      <c r="AK58" s="292"/>
      <c r="AL58" s="292"/>
      <c r="AM58" s="292"/>
      <c r="AN58" s="292"/>
      <c r="AO58" s="292"/>
      <c r="AP58" s="292"/>
      <c r="AQ58" s="292"/>
      <c r="AR58" s="292"/>
      <c r="AS58" s="292"/>
      <c r="AT58" s="292"/>
      <c r="AU58" s="292"/>
      <c r="AV58" s="292"/>
      <c r="AW58" s="292"/>
      <c r="AX58" s="292"/>
      <c r="AY58" s="292"/>
      <c r="AZ58" s="292"/>
      <c r="BA58" s="292"/>
      <c r="BB58" s="292"/>
      <c r="BC58" s="292"/>
      <c r="BD58" s="292"/>
      <c r="BE58" s="292"/>
      <c r="BF58" s="292"/>
      <c r="BH58" s="292"/>
      <c r="BI58" s="292"/>
      <c r="BJ58" s="292"/>
      <c r="BK58" s="292"/>
      <c r="BL58" s="292"/>
      <c r="BM58" s="292"/>
      <c r="BN58" s="292"/>
      <c r="BO58" s="292"/>
      <c r="BP58" s="303"/>
    </row>
    <row r="59" spans="1:68" ht="15.75">
      <c r="B59" s="293" t="s">
        <v>71</v>
      </c>
      <c r="C59" s="294"/>
      <c r="D59"/>
      <c r="E59"/>
      <c r="F59" s="295"/>
      <c r="G59"/>
      <c r="H59" s="295"/>
      <c r="I59" s="295"/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/>
      <c r="U59" s="295"/>
      <c r="V59" s="295"/>
      <c r="W59" s="295"/>
      <c r="X59" s="295"/>
      <c r="Y59" s="295"/>
      <c r="Z59" s="295"/>
      <c r="AA59" s="295"/>
      <c r="AB59" s="295"/>
      <c r="AC59" s="295"/>
      <c r="AD59" s="295"/>
      <c r="AE59" s="295"/>
      <c r="AF59" s="295"/>
      <c r="AG59"/>
      <c r="AH59" s="295"/>
      <c r="AI59" s="295"/>
      <c r="AJ59" s="295"/>
      <c r="AK59" s="295"/>
      <c r="AL59" s="295"/>
      <c r="AM59" s="295"/>
      <c r="AN59" s="295"/>
      <c r="AO59" s="295"/>
      <c r="AP59" s="295"/>
      <c r="AQ59" s="295"/>
      <c r="AR59" s="295"/>
      <c r="AS59" s="295"/>
      <c r="AT59" s="295"/>
      <c r="AU59" s="295"/>
      <c r="AV59" s="295"/>
      <c r="AW59" s="295"/>
      <c r="AX59" s="295"/>
      <c r="AY59" s="295"/>
      <c r="AZ59" s="295"/>
      <c r="BA59" s="295"/>
      <c r="BB59" s="295"/>
      <c r="BC59" s="295"/>
      <c r="BD59" s="295"/>
      <c r="BE59" s="295"/>
      <c r="BF59" s="295"/>
      <c r="BH59" s="295"/>
      <c r="BI59" s="295"/>
      <c r="BJ59" s="295"/>
      <c r="BK59" s="295"/>
      <c r="BL59" s="295"/>
      <c r="BM59" s="295"/>
      <c r="BN59"/>
      <c r="BO59" s="295"/>
      <c r="BP59" s="304"/>
    </row>
    <row r="60" spans="1:68" ht="15.75">
      <c r="B60" s="292"/>
      <c r="C60" s="294"/>
      <c r="D60"/>
      <c r="E60"/>
      <c r="F60" s="292"/>
      <c r="G60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/>
      <c r="U60" s="292"/>
      <c r="V60" s="292"/>
      <c r="W60" s="292"/>
      <c r="X60" s="292"/>
      <c r="Y60" s="292"/>
      <c r="Z60" s="292"/>
      <c r="AA60" s="292"/>
      <c r="AB60" s="292"/>
      <c r="AC60" s="292"/>
      <c r="AD60" s="292"/>
      <c r="AE60" s="292"/>
      <c r="AF60" s="292"/>
      <c r="AG60"/>
      <c r="AH60" s="292"/>
      <c r="AI60" s="292"/>
      <c r="AJ60" s="292"/>
      <c r="AK60" s="292"/>
      <c r="AL60" s="292"/>
      <c r="AM60" s="292"/>
      <c r="AN60" s="292"/>
      <c r="AO60" s="292"/>
      <c r="AP60" s="292"/>
      <c r="AQ60" s="292"/>
      <c r="AR60" s="292"/>
      <c r="AS60" s="292"/>
      <c r="AT60" s="292"/>
      <c r="AU60" s="292"/>
      <c r="AV60" s="292"/>
      <c r="AW60" s="292"/>
      <c r="AX60" s="292"/>
      <c r="AY60" s="292"/>
      <c r="AZ60" s="292"/>
      <c r="BA60" s="292"/>
      <c r="BB60" s="292"/>
      <c r="BC60" s="292"/>
      <c r="BD60" s="292"/>
      <c r="BE60" s="292"/>
      <c r="BF60" s="292"/>
      <c r="BH60" s="292"/>
      <c r="BI60" s="292"/>
      <c r="BJ60" s="292"/>
      <c r="BK60" s="292"/>
      <c r="BL60" s="292"/>
      <c r="BM60" s="292"/>
      <c r="BN60"/>
      <c r="BO60" s="292"/>
      <c r="BP60" s="305"/>
    </row>
    <row r="61" spans="1:68" ht="15.75">
      <c r="B61" s="292"/>
      <c r="C61" s="296"/>
      <c r="D61" s="297"/>
      <c r="E61" s="298"/>
      <c r="F61" s="292"/>
      <c r="G61" s="298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8"/>
      <c r="U61" s="292"/>
      <c r="V61" s="292"/>
      <c r="W61" s="292"/>
      <c r="X61" s="292"/>
      <c r="Y61" s="292"/>
      <c r="Z61" s="292"/>
      <c r="AA61" s="292"/>
      <c r="AB61" s="292"/>
      <c r="AC61" s="292"/>
      <c r="AD61" s="292"/>
      <c r="AE61" s="292"/>
      <c r="AF61" s="292"/>
      <c r="AG61" s="298"/>
      <c r="AH61" s="292"/>
      <c r="AI61" s="292"/>
      <c r="AJ61" s="292"/>
      <c r="AK61" s="292"/>
      <c r="AL61" s="292"/>
      <c r="AM61" s="292"/>
      <c r="AN61" s="292"/>
      <c r="AO61" s="292"/>
      <c r="AP61" s="292"/>
      <c r="AQ61" s="292"/>
      <c r="AR61" s="292"/>
      <c r="AS61" s="292"/>
      <c r="AT61" s="292"/>
      <c r="AU61" s="292"/>
      <c r="AV61" s="292"/>
      <c r="AW61" s="292"/>
      <c r="AX61" s="292"/>
      <c r="AY61" s="292"/>
      <c r="AZ61" s="292"/>
      <c r="BA61" s="292"/>
      <c r="BB61" s="292"/>
      <c r="BC61" s="292"/>
      <c r="BD61" s="292"/>
      <c r="BE61" s="292"/>
      <c r="BF61" s="292"/>
      <c r="BH61" s="292"/>
      <c r="BI61" s="292"/>
      <c r="BJ61" s="292"/>
      <c r="BK61" s="292"/>
      <c r="BL61" s="292"/>
      <c r="BM61" s="292"/>
      <c r="BN61" s="298"/>
      <c r="BO61" s="292"/>
    </row>
  </sheetData>
  <mergeCells count="4">
    <mergeCell ref="B2:BO2"/>
    <mergeCell ref="B3:BO3"/>
    <mergeCell ref="B4:BO4"/>
    <mergeCell ref="B5:BO5"/>
  </mergeCells>
  <hyperlinks>
    <hyperlink ref="B15" location="NOTAS!A27" display="   Propiedad Planta y Equipo" xr:uid="{00000000-0004-0000-0000-000000000000}"/>
  </hyperlinks>
  <pageMargins left="0.74803149606299202" right="0.55118110236220497" top="0.78740157480314998" bottom="0.78740157480314998" header="0" footer="0"/>
  <pageSetup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CO153"/>
  <sheetViews>
    <sheetView showGridLines="0" zoomScale="90" zoomScaleNormal="90" workbookViewId="0">
      <selection activeCell="S32" sqref="S32"/>
    </sheetView>
  </sheetViews>
  <sheetFormatPr baseColWidth="10" defaultColWidth="1.85546875" defaultRowHeight="12.75"/>
  <cols>
    <col min="1" max="1" width="1.85546875" style="194"/>
    <col min="2" max="2" width="39" style="194" customWidth="1"/>
    <col min="3" max="3" width="6.28515625" style="194" customWidth="1"/>
    <col min="4" max="4" width="2.42578125" style="195" customWidth="1"/>
    <col min="5" max="16" width="16" style="196" hidden="1" customWidth="1"/>
    <col min="17" max="17" width="16" style="196" bestFit="1" customWidth="1"/>
    <col min="18" max="18" width="1.7109375" style="195" customWidth="1"/>
    <col min="19" max="19" width="16" style="196" bestFit="1" customWidth="1"/>
    <col min="20" max="31" width="16" style="196" hidden="1" customWidth="1"/>
    <col min="32" max="32" width="1.7109375" style="195" customWidth="1"/>
    <col min="33" max="33" width="16" style="196" bestFit="1" customWidth="1"/>
    <col min="34" max="45" width="12.5703125" style="196" hidden="1" customWidth="1"/>
    <col min="46" max="46" width="1.7109375" style="195" customWidth="1"/>
    <col min="47" max="47" width="16.85546875" style="195" customWidth="1"/>
    <col min="48" max="48" width="14.140625" style="196" hidden="1" customWidth="1"/>
    <col min="49" max="50" width="12.5703125" style="196" hidden="1" customWidth="1"/>
    <col min="51" max="51" width="13.28515625" style="196" hidden="1" customWidth="1"/>
    <col min="52" max="52" width="12.5703125" style="196" hidden="1" customWidth="1"/>
    <col min="53" max="59" width="13.5703125" style="196" hidden="1" customWidth="1"/>
    <col min="60" max="60" width="1.7109375" style="197" customWidth="1"/>
    <col min="61" max="73" width="16.42578125" style="196" hidden="1" customWidth="1"/>
    <col min="74" max="74" width="2.5703125" style="198" customWidth="1"/>
    <col min="75" max="75" width="16.42578125" style="196" hidden="1" customWidth="1"/>
    <col min="76" max="81" width="15.42578125" style="196" hidden="1" customWidth="1"/>
    <col min="82" max="82" width="2.42578125" style="195" customWidth="1"/>
    <col min="83" max="83" width="15.42578125" style="196" hidden="1" customWidth="1"/>
    <col min="84" max="84" width="13.5703125" style="196" hidden="1" customWidth="1"/>
    <col min="85" max="85" width="2" style="195" customWidth="1"/>
    <col min="86" max="86" width="13.5703125" style="196" hidden="1" customWidth="1"/>
    <col min="87" max="87" width="1.85546875" style="194" customWidth="1"/>
    <col min="88" max="92" width="1.85546875" style="194"/>
    <col min="93" max="93" width="17.140625" style="194" customWidth="1"/>
    <col min="94" max="16384" width="1.85546875" style="194"/>
  </cols>
  <sheetData>
    <row r="2" spans="1:87" ht="20.25">
      <c r="B2" s="515" t="str">
        <f>+ESF!B2</f>
        <v>JELCOM SOLUCIONES EMPRESARIALES SAS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5"/>
      <c r="AQ2" s="515"/>
      <c r="AR2" s="515"/>
      <c r="AS2" s="515"/>
      <c r="AT2" s="515"/>
      <c r="AU2" s="515"/>
      <c r="AV2" s="515"/>
      <c r="AW2" s="515"/>
      <c r="AX2" s="515"/>
      <c r="AY2" s="515"/>
      <c r="AZ2" s="515"/>
      <c r="BA2" s="515"/>
      <c r="BB2" s="515"/>
      <c r="BC2" s="515"/>
      <c r="BD2" s="515"/>
      <c r="BE2" s="515"/>
      <c r="BF2" s="515"/>
      <c r="BG2" s="515"/>
      <c r="BH2" s="515"/>
      <c r="BI2" s="515"/>
      <c r="BJ2" s="515"/>
      <c r="BK2" s="515"/>
      <c r="BL2" s="515"/>
      <c r="BM2" s="515"/>
      <c r="BN2" s="515"/>
      <c r="BO2" s="515"/>
      <c r="BP2" s="515"/>
      <c r="BQ2" s="515"/>
      <c r="BR2" s="515"/>
      <c r="BS2" s="515"/>
      <c r="BT2" s="515"/>
      <c r="BU2" s="515"/>
      <c r="BV2" s="515"/>
      <c r="BW2" s="515"/>
      <c r="BX2" s="515"/>
      <c r="BY2" s="515"/>
      <c r="BZ2" s="515"/>
      <c r="CA2" s="515"/>
      <c r="CB2" s="515"/>
      <c r="CC2" s="515"/>
      <c r="CD2" s="515"/>
      <c r="CE2" s="515"/>
      <c r="CF2" s="515"/>
      <c r="CG2" s="515"/>
      <c r="CH2" s="199"/>
    </row>
    <row r="3" spans="1:87" ht="14.25" customHeight="1">
      <c r="B3" s="520" t="str">
        <f>+ESF!B3</f>
        <v>NIT. 901360819</v>
      </c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0"/>
      <c r="AB3" s="520"/>
      <c r="AC3" s="520"/>
      <c r="AD3" s="520"/>
      <c r="AE3" s="520"/>
      <c r="AF3" s="520"/>
      <c r="AG3" s="520"/>
      <c r="AH3" s="520"/>
      <c r="AI3" s="520"/>
      <c r="AJ3" s="520"/>
      <c r="AK3" s="520"/>
      <c r="AL3" s="520"/>
      <c r="AM3" s="520"/>
      <c r="AN3" s="520"/>
      <c r="AO3" s="520"/>
      <c r="AP3" s="520"/>
      <c r="AQ3" s="520"/>
      <c r="AR3" s="520"/>
      <c r="AS3" s="520"/>
      <c r="AT3" s="520"/>
      <c r="AU3" s="520"/>
      <c r="AV3" s="520"/>
      <c r="AW3" s="520"/>
      <c r="AX3" s="520"/>
      <c r="AY3" s="520"/>
      <c r="AZ3" s="520"/>
      <c r="BA3" s="520"/>
      <c r="BB3" s="520"/>
      <c r="BC3" s="520"/>
      <c r="BD3" s="520"/>
      <c r="BE3" s="520"/>
      <c r="BF3" s="520"/>
      <c r="BG3" s="520"/>
      <c r="BH3" s="520"/>
      <c r="BI3" s="520"/>
      <c r="BJ3" s="520"/>
      <c r="BK3" s="520"/>
      <c r="BL3" s="520"/>
      <c r="BM3" s="520"/>
      <c r="BN3" s="520"/>
      <c r="BO3" s="520"/>
      <c r="BP3" s="520"/>
      <c r="BQ3" s="520"/>
      <c r="BR3" s="520"/>
      <c r="BS3" s="520"/>
      <c r="BT3" s="520"/>
      <c r="BU3" s="520"/>
      <c r="BV3" s="520"/>
      <c r="BW3" s="520"/>
      <c r="BX3" s="520"/>
      <c r="BY3" s="520"/>
      <c r="BZ3" s="520"/>
      <c r="CA3" s="520"/>
      <c r="CB3" s="520"/>
      <c r="CC3" s="520"/>
      <c r="CD3" s="520"/>
      <c r="CE3" s="520"/>
      <c r="CF3" s="520"/>
      <c r="CG3" s="520"/>
      <c r="CH3" s="224"/>
      <c r="CI3" s="224"/>
    </row>
    <row r="4" spans="1:87" ht="14.25">
      <c r="B4" s="517" t="s">
        <v>73</v>
      </c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517"/>
      <c r="S4" s="517"/>
      <c r="T4" s="517"/>
      <c r="U4" s="517"/>
      <c r="V4" s="517"/>
      <c r="W4" s="517"/>
      <c r="X4" s="517"/>
      <c r="Y4" s="517"/>
      <c r="Z4" s="517"/>
      <c r="AA4" s="517"/>
      <c r="AB4" s="517"/>
      <c r="AC4" s="517"/>
      <c r="AD4" s="517"/>
      <c r="AE4" s="517"/>
      <c r="AF4" s="517"/>
      <c r="AG4" s="517"/>
      <c r="AH4" s="517"/>
      <c r="AI4" s="517"/>
      <c r="AJ4" s="517"/>
      <c r="AK4" s="517"/>
      <c r="AL4" s="517"/>
      <c r="AM4" s="517"/>
      <c r="AN4" s="517"/>
      <c r="AO4" s="517"/>
      <c r="AP4" s="517"/>
      <c r="AQ4" s="517"/>
      <c r="AR4" s="517"/>
      <c r="AS4" s="517"/>
      <c r="AT4" s="517"/>
      <c r="AU4" s="517"/>
      <c r="AV4" s="517"/>
      <c r="AW4" s="517"/>
      <c r="AX4" s="517"/>
      <c r="AY4" s="517"/>
      <c r="AZ4" s="517"/>
      <c r="BA4" s="517"/>
      <c r="BB4" s="517"/>
      <c r="BC4" s="517"/>
      <c r="BD4" s="517"/>
      <c r="BE4" s="517"/>
      <c r="BF4" s="517"/>
      <c r="BG4" s="517"/>
      <c r="BH4" s="517"/>
      <c r="BI4" s="517"/>
      <c r="BJ4" s="517"/>
      <c r="BK4" s="517"/>
      <c r="BL4" s="517"/>
      <c r="BM4" s="517"/>
      <c r="BN4" s="517"/>
      <c r="BO4" s="517"/>
      <c r="BP4" s="517"/>
      <c r="BQ4" s="517"/>
      <c r="BR4" s="517"/>
      <c r="BS4" s="517"/>
      <c r="BT4" s="517"/>
      <c r="BU4" s="517"/>
      <c r="BV4" s="517"/>
      <c r="BW4" s="517"/>
      <c r="BX4" s="517"/>
      <c r="BY4" s="517"/>
      <c r="BZ4" s="517"/>
      <c r="CA4" s="517"/>
      <c r="CB4" s="517"/>
      <c r="CC4" s="517"/>
      <c r="CD4" s="517"/>
      <c r="CE4" s="517"/>
      <c r="CF4" s="224"/>
      <c r="CG4" s="224"/>
      <c r="CH4" s="224"/>
    </row>
    <row r="5" spans="1:87">
      <c r="B5" s="519" t="s">
        <v>74</v>
      </c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19"/>
      <c r="AT5" s="519"/>
      <c r="AU5" s="519"/>
      <c r="AV5" s="519"/>
      <c r="AW5" s="519"/>
      <c r="AX5" s="519"/>
      <c r="AY5" s="519"/>
      <c r="AZ5" s="519"/>
      <c r="BA5" s="519"/>
      <c r="BB5" s="519"/>
      <c r="BC5" s="519"/>
      <c r="BD5" s="519"/>
      <c r="BE5" s="519"/>
      <c r="BF5" s="519"/>
      <c r="BG5" s="519"/>
      <c r="BH5" s="519"/>
      <c r="BI5" s="519"/>
      <c r="BJ5" s="519"/>
      <c r="BK5" s="519"/>
      <c r="BL5" s="519"/>
      <c r="BM5" s="519"/>
      <c r="BN5" s="519"/>
      <c r="BO5" s="519"/>
      <c r="BP5" s="519"/>
      <c r="BQ5" s="519"/>
      <c r="BR5" s="519"/>
      <c r="BS5" s="519"/>
      <c r="BT5" s="519"/>
      <c r="BU5" s="519"/>
      <c r="BV5" s="519"/>
      <c r="BW5" s="519"/>
      <c r="BX5" s="519"/>
      <c r="BY5" s="519"/>
      <c r="BZ5" s="519"/>
      <c r="CA5" s="519"/>
      <c r="CB5" s="519"/>
      <c r="CC5" s="519"/>
      <c r="CD5" s="519"/>
      <c r="CE5" s="519"/>
      <c r="CF5" s="519"/>
      <c r="CG5" s="519"/>
      <c r="CH5" s="126"/>
    </row>
    <row r="6" spans="1:87"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195"/>
      <c r="BI6" s="201"/>
      <c r="BJ6" s="201"/>
      <c r="BK6" s="201"/>
      <c r="BL6" s="201"/>
      <c r="BM6" s="201"/>
      <c r="BN6" s="201"/>
      <c r="BO6" s="201"/>
      <c r="BP6" s="201"/>
      <c r="BQ6" s="201"/>
      <c r="BR6" s="201"/>
      <c r="BS6" s="201"/>
      <c r="BT6" s="201"/>
      <c r="BU6" s="201"/>
      <c r="BW6" s="201"/>
      <c r="BX6" s="201"/>
      <c r="BY6" s="201"/>
      <c r="BZ6" s="201"/>
      <c r="CA6" s="201"/>
      <c r="CB6" s="201"/>
      <c r="CC6" s="201"/>
      <c r="CE6" s="201"/>
      <c r="CF6" s="201"/>
      <c r="CH6" s="201"/>
    </row>
    <row r="7" spans="1:87" ht="15.75" customHeight="1">
      <c r="B7" s="202" t="s">
        <v>75</v>
      </c>
      <c r="C7" s="202" t="s">
        <v>76</v>
      </c>
      <c r="D7" s="203"/>
      <c r="E7" s="359" t="s">
        <v>593</v>
      </c>
      <c r="F7" s="204" t="s">
        <v>642</v>
      </c>
      <c r="G7" s="204" t="s">
        <v>643</v>
      </c>
      <c r="H7" s="204" t="s">
        <v>644</v>
      </c>
      <c r="I7" s="204" t="s">
        <v>645</v>
      </c>
      <c r="J7" s="204" t="s">
        <v>646</v>
      </c>
      <c r="K7" s="204" t="s">
        <v>647</v>
      </c>
      <c r="L7" s="204" t="s">
        <v>648</v>
      </c>
      <c r="M7" s="204" t="s">
        <v>649</v>
      </c>
      <c r="N7" s="204" t="s">
        <v>650</v>
      </c>
      <c r="O7" s="359" t="s">
        <v>651</v>
      </c>
      <c r="P7" s="359" t="s">
        <v>652</v>
      </c>
      <c r="Q7" s="359" t="s">
        <v>653</v>
      </c>
      <c r="R7" s="203"/>
      <c r="S7" s="359" t="s">
        <v>593</v>
      </c>
      <c r="T7" s="204" t="s">
        <v>629</v>
      </c>
      <c r="U7" s="204" t="s">
        <v>625</v>
      </c>
      <c r="V7" s="204" t="s">
        <v>623</v>
      </c>
      <c r="W7" s="204" t="s">
        <v>620</v>
      </c>
      <c r="X7" s="204" t="s">
        <v>616</v>
      </c>
      <c r="Y7" s="204" t="s">
        <v>614</v>
      </c>
      <c r="Z7" s="204" t="s">
        <v>610</v>
      </c>
      <c r="AA7" s="204" t="s">
        <v>608</v>
      </c>
      <c r="AB7" s="204" t="s">
        <v>606</v>
      </c>
      <c r="AC7" s="359" t="s">
        <v>603</v>
      </c>
      <c r="AD7" s="359" t="s">
        <v>599</v>
      </c>
      <c r="AE7" s="359" t="s">
        <v>593</v>
      </c>
      <c r="AF7" s="203"/>
      <c r="AG7" s="359" t="s">
        <v>86</v>
      </c>
      <c r="AH7" s="359" t="s">
        <v>561</v>
      </c>
      <c r="AI7" s="204" t="s">
        <v>419</v>
      </c>
      <c r="AJ7" s="204" t="s">
        <v>77</v>
      </c>
      <c r="AK7" s="204" t="s">
        <v>78</v>
      </c>
      <c r="AL7" s="204" t="s">
        <v>79</v>
      </c>
      <c r="AM7" s="204" t="s">
        <v>80</v>
      </c>
      <c r="AN7" s="204" t="s">
        <v>81</v>
      </c>
      <c r="AO7" s="204" t="s">
        <v>82</v>
      </c>
      <c r="AP7" s="204" t="s">
        <v>83</v>
      </c>
      <c r="AQ7" s="204" t="s">
        <v>84</v>
      </c>
      <c r="AR7" s="204" t="s">
        <v>85</v>
      </c>
      <c r="AS7" s="204" t="s">
        <v>86</v>
      </c>
      <c r="AT7" s="203"/>
      <c r="AU7" s="222" t="s">
        <v>87</v>
      </c>
      <c r="AV7" s="204" t="s">
        <v>88</v>
      </c>
      <c r="AW7" s="204" t="s">
        <v>89</v>
      </c>
      <c r="AX7" s="204" t="s">
        <v>90</v>
      </c>
      <c r="AY7" s="204" t="s">
        <v>91</v>
      </c>
      <c r="AZ7" s="204" t="s">
        <v>92</v>
      </c>
      <c r="BA7" s="204" t="s">
        <v>93</v>
      </c>
      <c r="BB7" s="204" t="s">
        <v>94</v>
      </c>
      <c r="BC7" s="204" t="s">
        <v>95</v>
      </c>
      <c r="BD7" s="204" t="s">
        <v>96</v>
      </c>
      <c r="BE7" s="204" t="s">
        <v>97</v>
      </c>
      <c r="BF7" s="204" t="s">
        <v>98</v>
      </c>
      <c r="BG7" s="204" t="s">
        <v>87</v>
      </c>
      <c r="BH7" s="223"/>
      <c r="BI7" s="204" t="s">
        <v>99</v>
      </c>
      <c r="BJ7" s="359" t="s">
        <v>583</v>
      </c>
      <c r="BK7" s="359" t="s">
        <v>584</v>
      </c>
      <c r="BL7" s="204" t="s">
        <v>100</v>
      </c>
      <c r="BM7" s="204" t="s">
        <v>101</v>
      </c>
      <c r="BN7" s="204" t="s">
        <v>102</v>
      </c>
      <c r="BO7" s="204" t="s">
        <v>103</v>
      </c>
      <c r="BP7" s="204" t="s">
        <v>104</v>
      </c>
      <c r="BQ7" s="204" t="s">
        <v>105</v>
      </c>
      <c r="BR7" s="204" t="s">
        <v>106</v>
      </c>
      <c r="BS7" s="204" t="s">
        <v>107</v>
      </c>
      <c r="BT7" s="204" t="s">
        <v>108</v>
      </c>
      <c r="BU7" s="204" t="s">
        <v>99</v>
      </c>
      <c r="BW7" s="204" t="s">
        <v>109</v>
      </c>
      <c r="BX7" s="204" t="s">
        <v>110</v>
      </c>
      <c r="BY7" s="204" t="s">
        <v>111</v>
      </c>
      <c r="BZ7" s="204" t="s">
        <v>112</v>
      </c>
      <c r="CA7" s="204" t="s">
        <v>113</v>
      </c>
      <c r="CB7" s="204" t="s">
        <v>114</v>
      </c>
      <c r="CC7" s="204" t="s">
        <v>45</v>
      </c>
      <c r="CD7" s="203"/>
      <c r="CE7" s="204" t="s">
        <v>115</v>
      </c>
      <c r="CF7" s="225" t="s">
        <v>116</v>
      </c>
      <c r="CG7" s="203"/>
      <c r="CH7" s="225" t="s">
        <v>117</v>
      </c>
    </row>
    <row r="8" spans="1:87" ht="15" customHeight="1">
      <c r="B8" s="202"/>
      <c r="C8" s="202"/>
      <c r="D8" s="205"/>
      <c r="E8" s="204" t="s">
        <v>630</v>
      </c>
      <c r="F8" s="204" t="s">
        <v>654</v>
      </c>
      <c r="G8" s="204" t="s">
        <v>655</v>
      </c>
      <c r="H8" s="204" t="s">
        <v>656</v>
      </c>
      <c r="I8" s="204" t="s">
        <v>657</v>
      </c>
      <c r="J8" s="204" t="s">
        <v>658</v>
      </c>
      <c r="K8" s="204" t="s">
        <v>659</v>
      </c>
      <c r="L8" s="204" t="s">
        <v>660</v>
      </c>
      <c r="M8" s="204" t="s">
        <v>661</v>
      </c>
      <c r="N8" s="204" t="s">
        <v>662</v>
      </c>
      <c r="O8" s="359" t="s">
        <v>663</v>
      </c>
      <c r="P8" s="359" t="s">
        <v>664</v>
      </c>
      <c r="Q8" s="359" t="s">
        <v>665</v>
      </c>
      <c r="R8" s="205"/>
      <c r="S8" s="204" t="s">
        <v>630</v>
      </c>
      <c r="T8" s="204" t="s">
        <v>630</v>
      </c>
      <c r="U8" s="204" t="s">
        <v>626</v>
      </c>
      <c r="V8" s="204" t="s">
        <v>624</v>
      </c>
      <c r="W8" s="204" t="s">
        <v>621</v>
      </c>
      <c r="X8" s="204" t="s">
        <v>617</v>
      </c>
      <c r="Y8" s="204" t="s">
        <v>615</v>
      </c>
      <c r="Z8" s="204" t="s">
        <v>611</v>
      </c>
      <c r="AA8" s="204" t="s">
        <v>609</v>
      </c>
      <c r="AB8" s="204" t="s">
        <v>607</v>
      </c>
      <c r="AC8" s="359" t="s">
        <v>604</v>
      </c>
      <c r="AD8" s="359" t="s">
        <v>600</v>
      </c>
      <c r="AE8" s="359" t="s">
        <v>594</v>
      </c>
      <c r="AF8" s="205"/>
      <c r="AG8" s="359" t="s">
        <v>420</v>
      </c>
      <c r="AH8" s="359" t="s">
        <v>418</v>
      </c>
      <c r="AI8" s="204" t="s">
        <v>417</v>
      </c>
      <c r="AJ8" s="204" t="s">
        <v>6</v>
      </c>
      <c r="AK8" s="204" t="s">
        <v>7</v>
      </c>
      <c r="AL8" s="204" t="s">
        <v>8</v>
      </c>
      <c r="AM8" s="204" t="s">
        <v>9</v>
      </c>
      <c r="AN8" s="204" t="s">
        <v>10</v>
      </c>
      <c r="AO8" s="204" t="s">
        <v>11</v>
      </c>
      <c r="AP8" s="204" t="s">
        <v>12</v>
      </c>
      <c r="AQ8" s="204" t="s">
        <v>13</v>
      </c>
      <c r="AR8" s="204" t="s">
        <v>118</v>
      </c>
      <c r="AS8" s="204" t="s">
        <v>15</v>
      </c>
      <c r="AT8" s="205"/>
      <c r="AU8" s="204" t="s">
        <v>16</v>
      </c>
      <c r="AV8" s="204" t="s">
        <v>16</v>
      </c>
      <c r="AW8" s="204" t="s">
        <v>17</v>
      </c>
      <c r="AX8" s="204" t="s">
        <v>18</v>
      </c>
      <c r="AY8" s="204" t="s">
        <v>19</v>
      </c>
      <c r="AZ8" s="204" t="s">
        <v>20</v>
      </c>
      <c r="BA8" s="204" t="s">
        <v>119</v>
      </c>
      <c r="BB8" s="204" t="s">
        <v>22</v>
      </c>
      <c r="BC8" s="204" t="s">
        <v>23</v>
      </c>
      <c r="BD8" s="204" t="s">
        <v>120</v>
      </c>
      <c r="BE8" s="204" t="s">
        <v>25</v>
      </c>
      <c r="BF8" s="204" t="s">
        <v>26</v>
      </c>
      <c r="BG8" s="204" t="s">
        <v>87</v>
      </c>
      <c r="BH8" s="223"/>
      <c r="BI8" s="204" t="s">
        <v>28</v>
      </c>
      <c r="BJ8" s="359" t="s">
        <v>28</v>
      </c>
      <c r="BK8" s="359" t="s">
        <v>29</v>
      </c>
      <c r="BL8" s="204" t="s">
        <v>30</v>
      </c>
      <c r="BM8" s="204" t="s">
        <v>31</v>
      </c>
      <c r="BN8" s="204" t="s">
        <v>121</v>
      </c>
      <c r="BO8" s="204" t="s">
        <v>33</v>
      </c>
      <c r="BP8" s="204" t="s">
        <v>34</v>
      </c>
      <c r="BQ8" s="204" t="s">
        <v>122</v>
      </c>
      <c r="BR8" s="204" t="s">
        <v>123</v>
      </c>
      <c r="BS8" s="204" t="s">
        <v>37</v>
      </c>
      <c r="BT8" s="204" t="s">
        <v>38</v>
      </c>
      <c r="BU8" s="204" t="s">
        <v>39</v>
      </c>
      <c r="BW8" s="204" t="s">
        <v>40</v>
      </c>
      <c r="BX8" s="204" t="s">
        <v>124</v>
      </c>
      <c r="BY8" s="204" t="s">
        <v>41</v>
      </c>
      <c r="BZ8" s="204" t="s">
        <v>42</v>
      </c>
      <c r="CA8" s="204" t="s">
        <v>43</v>
      </c>
      <c r="CB8" s="204" t="s">
        <v>44</v>
      </c>
      <c r="CC8" s="204" t="s">
        <v>125</v>
      </c>
      <c r="CD8" s="205"/>
      <c r="CE8" s="204" t="s">
        <v>46</v>
      </c>
      <c r="CF8" s="226" t="s">
        <v>126</v>
      </c>
      <c r="CG8" s="205"/>
      <c r="CH8" s="226" t="s">
        <v>127</v>
      </c>
    </row>
    <row r="9" spans="1:87" ht="15">
      <c r="B9" s="192"/>
      <c r="C9" s="206"/>
      <c r="D9" s="205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5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5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5"/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  <c r="BM9" s="207"/>
      <c r="BN9" s="207"/>
      <c r="BO9" s="207"/>
      <c r="BP9" s="207"/>
      <c r="BQ9" s="207"/>
      <c r="BR9" s="207"/>
      <c r="BS9" s="207"/>
      <c r="BT9" s="207"/>
      <c r="BU9" s="207"/>
      <c r="BW9" s="207"/>
      <c r="BX9" s="207"/>
      <c r="BY9" s="207"/>
      <c r="BZ9" s="207"/>
      <c r="CA9" s="207"/>
      <c r="CB9" s="207"/>
      <c r="CC9" s="207"/>
      <c r="CD9" s="205"/>
      <c r="CE9" s="207"/>
      <c r="CF9" s="207"/>
      <c r="CG9" s="207"/>
      <c r="CH9" s="207"/>
    </row>
    <row r="10" spans="1:87" ht="15">
      <c r="A10" s="207"/>
      <c r="B10" s="196" t="s">
        <v>128</v>
      </c>
      <c r="C10" s="208">
        <v>12</v>
      </c>
      <c r="E10" s="196">
        <f t="shared" ref="E10:Q10" si="0">SUM(E12:E13)</f>
        <v>45023259</v>
      </c>
      <c r="F10" s="196">
        <f t="shared" ref="F10:G10" si="1">SUM(F12:F13)</f>
        <v>0</v>
      </c>
      <c r="G10" s="196">
        <f t="shared" si="1"/>
        <v>0</v>
      </c>
      <c r="H10" s="196">
        <f t="shared" si="0"/>
        <v>0</v>
      </c>
      <c r="I10" s="196">
        <f t="shared" ref="I10:J10" si="2">SUM(I12:I13)</f>
        <v>0</v>
      </c>
      <c r="J10" s="196">
        <f t="shared" si="2"/>
        <v>0</v>
      </c>
      <c r="K10" s="196">
        <f t="shared" si="0"/>
        <v>0</v>
      </c>
      <c r="L10" s="196">
        <f t="shared" ref="L10:M10" si="3">SUM(L12:L13)</f>
        <v>0</v>
      </c>
      <c r="M10" s="196">
        <f t="shared" si="3"/>
        <v>0</v>
      </c>
      <c r="N10" s="196">
        <f t="shared" si="0"/>
        <v>0</v>
      </c>
      <c r="O10" s="196">
        <f t="shared" ref="O10:P10" si="4">SUM(O12:O13)</f>
        <v>0</v>
      </c>
      <c r="P10" s="196">
        <f t="shared" si="4"/>
        <v>0</v>
      </c>
      <c r="Q10" s="196">
        <f t="shared" si="0"/>
        <v>45023259</v>
      </c>
      <c r="S10" s="196">
        <f t="shared" ref="S10:AE10" si="5">SUM(S12:S13)</f>
        <v>370322671</v>
      </c>
      <c r="T10" s="196">
        <f t="shared" ref="T10:U10" si="6">SUM(T12:T13)</f>
        <v>41398469</v>
      </c>
      <c r="U10" s="196">
        <f t="shared" si="6"/>
        <v>42018469</v>
      </c>
      <c r="V10" s="196">
        <f t="shared" ref="V10:W10" si="7">SUM(V12:V13)</f>
        <v>43654871</v>
      </c>
      <c r="W10" s="196">
        <f t="shared" si="7"/>
        <v>42958469</v>
      </c>
      <c r="X10" s="196">
        <f t="shared" si="5"/>
        <v>31018469</v>
      </c>
      <c r="Y10" s="196">
        <f t="shared" ref="Y10:Z10" si="8">SUM(Y12:Y13)</f>
        <v>29178469</v>
      </c>
      <c r="Z10" s="196">
        <f t="shared" si="8"/>
        <v>28798469</v>
      </c>
      <c r="AA10" s="196">
        <f t="shared" si="5"/>
        <v>26614079</v>
      </c>
      <c r="AB10" s="196">
        <f t="shared" si="5"/>
        <v>27455969</v>
      </c>
      <c r="AC10" s="196">
        <f t="shared" si="5"/>
        <v>29548469</v>
      </c>
      <c r="AD10" s="196">
        <f t="shared" si="5"/>
        <v>26168469</v>
      </c>
      <c r="AE10" s="196">
        <f t="shared" si="5"/>
        <v>1510000</v>
      </c>
      <c r="AG10" s="196">
        <f>SUM(AG12:AG13)</f>
        <v>95609587</v>
      </c>
      <c r="AH10" s="196">
        <f t="shared" ref="AH10:AR10" si="9">+AH12+AH13</f>
        <v>6910000</v>
      </c>
      <c r="AI10" s="196">
        <f t="shared" si="9"/>
        <v>7309587</v>
      </c>
      <c r="AJ10" s="196">
        <f t="shared" si="9"/>
        <v>6910000</v>
      </c>
      <c r="AK10" s="196">
        <f t="shared" si="9"/>
        <v>6910000</v>
      </c>
      <c r="AL10" s="196">
        <f t="shared" si="9"/>
        <v>7910000</v>
      </c>
      <c r="AM10" s="196">
        <f t="shared" si="9"/>
        <v>9270000</v>
      </c>
      <c r="AN10" s="196">
        <f t="shared" si="9"/>
        <v>7020000</v>
      </c>
      <c r="AO10" s="196">
        <f t="shared" si="9"/>
        <v>9740000</v>
      </c>
      <c r="AP10" s="196">
        <f t="shared" si="9"/>
        <v>7020000</v>
      </c>
      <c r="AQ10" s="196">
        <f t="shared" si="9"/>
        <v>10820000</v>
      </c>
      <c r="AR10" s="196">
        <f t="shared" si="9"/>
        <v>7560000</v>
      </c>
      <c r="AS10" s="196">
        <f>+AS12+AS13</f>
        <v>8230000</v>
      </c>
      <c r="AU10" s="196">
        <f>SUM(AU12:AU13)</f>
        <v>102813014</v>
      </c>
      <c r="AV10" s="196">
        <f t="shared" ref="AV10:AW10" si="10">SUM(AV12:AV13)</f>
        <v>8185423</v>
      </c>
      <c r="AW10" s="196">
        <f t="shared" si="10"/>
        <v>8185423</v>
      </c>
      <c r="AX10" s="196">
        <f t="shared" ref="AX10:AY10" si="11">SUM(AX12:AX13)</f>
        <v>11760000</v>
      </c>
      <c r="AY10" s="196">
        <f t="shared" si="11"/>
        <v>2360000</v>
      </c>
      <c r="AZ10" s="196">
        <f t="shared" ref="AZ10:BA10" si="12">SUM(AZ12:AZ13)</f>
        <v>5890000</v>
      </c>
      <c r="BA10" s="196">
        <f t="shared" si="12"/>
        <v>6360000</v>
      </c>
      <c r="BB10" s="196">
        <f t="shared" ref="BB10:BC10" si="13">SUM(BB12:BB13)</f>
        <v>7080000</v>
      </c>
      <c r="BC10" s="196">
        <f t="shared" si="13"/>
        <v>41940000</v>
      </c>
      <c r="BD10" s="196">
        <f t="shared" ref="BD10:BE10" si="14">SUM(BD12:BD13)</f>
        <v>4512000</v>
      </c>
      <c r="BE10" s="196">
        <f t="shared" si="14"/>
        <v>1520000</v>
      </c>
      <c r="BF10" s="196">
        <f t="shared" ref="BF10:BG10" si="15">SUM(BF12:BF13)</f>
        <v>2080000</v>
      </c>
      <c r="BG10" s="196">
        <f t="shared" si="15"/>
        <v>2940168</v>
      </c>
      <c r="BI10" s="196">
        <f>SUM(BI12:BI13)</f>
        <v>47784225</v>
      </c>
      <c r="BJ10" s="196">
        <f t="shared" ref="BJ10:BK10" si="16">SUM(BJ12:BJ13)</f>
        <v>6640168</v>
      </c>
      <c r="BK10" s="196">
        <f t="shared" si="16"/>
        <v>1970000</v>
      </c>
      <c r="BL10" s="196">
        <f t="shared" ref="BL10" si="17">SUM(BL12:BL13)</f>
        <v>3795000</v>
      </c>
      <c r="BM10" s="196">
        <f t="shared" ref="BM10:BN10" si="18">SUM(BM12:BM13)</f>
        <v>18668403</v>
      </c>
      <c r="BN10" s="196">
        <f t="shared" si="18"/>
        <v>11595735</v>
      </c>
      <c r="BO10" s="196">
        <f t="shared" ref="BO10:BP10" si="19">SUM(BO12:BO13)</f>
        <v>0</v>
      </c>
      <c r="BP10" s="196">
        <f t="shared" si="19"/>
        <v>0</v>
      </c>
      <c r="BQ10" s="196">
        <f t="shared" ref="BQ10:BR10" si="20">SUM(BQ12:BQ13)</f>
        <v>0</v>
      </c>
      <c r="BR10" s="196">
        <f t="shared" si="20"/>
        <v>504800</v>
      </c>
      <c r="BS10" s="196">
        <f t="shared" ref="BS10:BT10" si="21">SUM(BS12:BS13)</f>
        <v>2610119</v>
      </c>
      <c r="BT10" s="196">
        <f t="shared" si="21"/>
        <v>1000000</v>
      </c>
      <c r="BU10" s="196">
        <f t="shared" ref="BU10" si="22">SUM(BU12:BU13)</f>
        <v>1000000</v>
      </c>
      <c r="BW10" s="196">
        <f t="shared" ref="BW10:CC10" si="23">SUM(BW12:BW13)</f>
        <v>18444000</v>
      </c>
      <c r="BX10" s="196" t="e">
        <f t="shared" ref="BX10:BY10" si="24">SUM(BX12:BX13)</f>
        <v>#REF!</v>
      </c>
      <c r="BY10" s="196" t="e">
        <f t="shared" si="24"/>
        <v>#REF!</v>
      </c>
      <c r="BZ10" s="196" t="e">
        <f t="shared" ref="BZ10:CA10" si="25">SUM(BZ12:BZ13)</f>
        <v>#REF!</v>
      </c>
      <c r="CA10" s="196" t="e">
        <f t="shared" si="25"/>
        <v>#REF!</v>
      </c>
      <c r="CB10" s="196" t="e">
        <f t="shared" si="23"/>
        <v>#REF!</v>
      </c>
      <c r="CC10" s="196" t="e">
        <f t="shared" si="23"/>
        <v>#REF!</v>
      </c>
      <c r="CE10" s="196">
        <f>SUM(CE12:CE13)</f>
        <v>0</v>
      </c>
      <c r="CF10" s="201" t="e">
        <f t="shared" ref="CF10:CH10" si="26">SUM(CF12:CF13)</f>
        <v>#REF!</v>
      </c>
      <c r="CH10" s="201" t="e">
        <f t="shared" si="26"/>
        <v>#REF!</v>
      </c>
    </row>
    <row r="11" spans="1:87" ht="12.75" customHeight="1">
      <c r="A11" s="195"/>
      <c r="B11" s="196"/>
      <c r="C11" s="195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U11" s="201"/>
      <c r="AV11" s="201"/>
      <c r="AW11" s="201"/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195"/>
      <c r="BI11" s="201"/>
      <c r="BJ11" s="201"/>
      <c r="BK11" s="201"/>
      <c r="BL11" s="201"/>
      <c r="BM11" s="201"/>
      <c r="BN11" s="201"/>
      <c r="BO11" s="201"/>
      <c r="BP11" s="201"/>
      <c r="BQ11" s="201"/>
      <c r="BR11" s="201"/>
      <c r="BS11" s="201"/>
      <c r="BT11" s="201"/>
      <c r="BU11" s="201"/>
      <c r="BW11" s="201"/>
      <c r="BX11" s="201"/>
      <c r="BY11" s="201"/>
      <c r="BZ11" s="201"/>
      <c r="CA11" s="201"/>
      <c r="CB11" s="201"/>
      <c r="CC11" s="201"/>
      <c r="CE11" s="201"/>
      <c r="CF11" s="201"/>
      <c r="CH11" s="201"/>
    </row>
    <row r="12" spans="1:87" ht="12.75" customHeight="1">
      <c r="A12" s="195"/>
      <c r="B12" s="209" t="str">
        <f>+'NOTAS ERI'!A37</f>
        <v xml:space="preserve">   Actividades de Centro de Llamadas</v>
      </c>
      <c r="C12" s="195"/>
      <c r="D12" s="176"/>
      <c r="E12" s="210">
        <f>SUM(F12:Q12)</f>
        <v>66237137</v>
      </c>
      <c r="F12" s="210">
        <f>+'NOTAS ERI'!C10</f>
        <v>0</v>
      </c>
      <c r="G12" s="210">
        <f>+'NOTAS ERI'!D10</f>
        <v>0</v>
      </c>
      <c r="H12" s="210">
        <f>+'NOTAS ERI'!E10</f>
        <v>0</v>
      </c>
      <c r="I12" s="210">
        <f>+'NOTAS ERI'!F10</f>
        <v>0</v>
      </c>
      <c r="J12" s="210">
        <f>+'NOTAS ERI'!G10</f>
        <v>0</v>
      </c>
      <c r="K12" s="210">
        <f>+'NOTAS ERI'!H10</f>
        <v>0</v>
      </c>
      <c r="L12" s="210">
        <f>+'NOTAS ERI'!I10</f>
        <v>0</v>
      </c>
      <c r="M12" s="210">
        <f>+'NOTAS ERI'!J10</f>
        <v>0</v>
      </c>
      <c r="N12" s="210">
        <f>+'NOTAS ERI'!K10</f>
        <v>0</v>
      </c>
      <c r="O12" s="210">
        <f>+'NOTAS ERI'!L10</f>
        <v>0</v>
      </c>
      <c r="P12" s="210">
        <f>+'NOTAS ERI'!M10</f>
        <v>0</v>
      </c>
      <c r="Q12" s="210">
        <f>+'NOTAS ERI'!N10</f>
        <v>66237137</v>
      </c>
      <c r="R12" s="176"/>
      <c r="S12" s="210">
        <f>SUM(T12:AE12)</f>
        <v>399036750</v>
      </c>
      <c r="T12" s="210">
        <f>+'NOTAS ERI'!Q10</f>
        <v>41398469</v>
      </c>
      <c r="U12" s="210">
        <f>+'NOTAS ERI'!R10</f>
        <v>42018469</v>
      </c>
      <c r="V12" s="210">
        <f>+'NOTAS ERI'!S10</f>
        <v>43654871</v>
      </c>
      <c r="W12" s="210">
        <f>+'NOTAS ERI'!T10</f>
        <v>42958469</v>
      </c>
      <c r="X12" s="210">
        <f>+'NOTAS ERI'!U10</f>
        <v>31018469</v>
      </c>
      <c r="Y12" s="210">
        <f>+'NOTAS ERI'!V10</f>
        <v>56826938</v>
      </c>
      <c r="Z12" s="210">
        <f>+'NOTAS ERI'!W10</f>
        <v>28798469</v>
      </c>
      <c r="AA12" s="210">
        <f>+'NOTAS ERI'!X10</f>
        <v>26614079</v>
      </c>
      <c r="AB12" s="210">
        <f>+'NOTAS ERI'!Y10</f>
        <v>27901579</v>
      </c>
      <c r="AC12" s="210">
        <f>+'NOTAS ERI'!Z10</f>
        <v>29548469</v>
      </c>
      <c r="AD12" s="210">
        <f>+'NOTAS ERI'!AA10</f>
        <v>26788469</v>
      </c>
      <c r="AE12" s="210">
        <f>+'NOTAS ERI'!AB10</f>
        <v>1510000</v>
      </c>
      <c r="AF12" s="176"/>
      <c r="AG12" s="210">
        <f>SUM(AH12:AS12)</f>
        <v>96769587</v>
      </c>
      <c r="AH12" s="210">
        <f>+'NOTAS ERI'!AE10</f>
        <v>6910000</v>
      </c>
      <c r="AI12" s="210">
        <f>+'NOTAS ERI'!AF10</f>
        <v>7309587</v>
      </c>
      <c r="AJ12" s="210">
        <f>+'NOTAS ERI'!AG10</f>
        <v>7530000</v>
      </c>
      <c r="AK12" s="210">
        <f>+'NOTAS ERI'!AH10</f>
        <v>6910000</v>
      </c>
      <c r="AL12" s="210">
        <f>+'NOTAS ERI'!AI10</f>
        <v>7910000</v>
      </c>
      <c r="AM12" s="210">
        <f>+'NOTAS ERI'!AJ10</f>
        <v>9270000</v>
      </c>
      <c r="AN12" s="210">
        <f>+'NOTAS ERI'!AK10</f>
        <v>7020000</v>
      </c>
      <c r="AO12" s="210">
        <f>+'NOTAS ERI'!AL10</f>
        <v>9740000</v>
      </c>
      <c r="AP12" s="210">
        <f>+'NOTAS ERI'!AM10</f>
        <v>7560000</v>
      </c>
      <c r="AQ12" s="210">
        <f>+'NOTAS ERI'!AN10</f>
        <v>10820000</v>
      </c>
      <c r="AR12" s="210">
        <f>+'NOTAS ERI'!AO10</f>
        <v>7560000</v>
      </c>
      <c r="AS12" s="210">
        <f>+'NOTAS ERI'!AP10</f>
        <v>8230000</v>
      </c>
      <c r="AT12" s="176"/>
      <c r="AU12" s="210">
        <f>SUM(AV12:BG12)</f>
        <v>105983014</v>
      </c>
      <c r="AV12" s="210">
        <f>+'NOTAS ERI'!AS10</f>
        <v>8185423</v>
      </c>
      <c r="AW12" s="210">
        <f>+'NOTAS ERI'!AT10</f>
        <v>8185423</v>
      </c>
      <c r="AX12" s="210">
        <f>+'NOTAS ERI'!AU10</f>
        <v>13260000</v>
      </c>
      <c r="AY12" s="210">
        <f>+'NOTAS ERI'!AV10</f>
        <v>2360000</v>
      </c>
      <c r="AZ12" s="210">
        <f>+'NOTAS ERI'!AW10</f>
        <v>6360000</v>
      </c>
      <c r="BA12" s="210">
        <f>+'NOTAS ERI'!AX10</f>
        <v>6360000</v>
      </c>
      <c r="BB12" s="210">
        <f>+'NOTAS ERI'!AY10</f>
        <v>7080000</v>
      </c>
      <c r="BC12" s="210">
        <f>+'NOTAS ERI'!AZ10</f>
        <v>42140000</v>
      </c>
      <c r="BD12" s="210">
        <f>+'NOTAS ERI'!BA10</f>
        <v>4512000</v>
      </c>
      <c r="BE12" s="210">
        <f>+'NOTAS ERI'!BB10</f>
        <v>2520000</v>
      </c>
      <c r="BF12" s="210">
        <f>+'NOTAS ERI'!BC10</f>
        <v>2080000</v>
      </c>
      <c r="BG12" s="210">
        <f>+'NOTAS ERI'!BD10</f>
        <v>2940168</v>
      </c>
      <c r="BH12" s="176"/>
      <c r="BI12" s="210">
        <f>SUM(BJ12:BU12)</f>
        <v>51027964</v>
      </c>
      <c r="BJ12" s="210">
        <f>+'NOTAS ERI'!BG10</f>
        <v>6640168</v>
      </c>
      <c r="BK12" s="210">
        <f>+'NOTAS ERI'!BH10</f>
        <v>1970000</v>
      </c>
      <c r="BL12" s="210">
        <f>+'NOTAS ERI'!BI10</f>
        <v>3795000</v>
      </c>
      <c r="BM12" s="210">
        <f>+'NOTAS ERI'!BJ10</f>
        <v>18668403</v>
      </c>
      <c r="BN12" s="210">
        <f>+'NOTAS ERI'!BK10</f>
        <v>12733235</v>
      </c>
      <c r="BO12" s="210">
        <f>+'NOTAS ERI'!BL10</f>
        <v>0</v>
      </c>
      <c r="BP12" s="210">
        <f>+'NOTAS ERI'!BM10</f>
        <v>0</v>
      </c>
      <c r="BQ12" s="210">
        <f>+'NOTAS ERI'!BN10</f>
        <v>1106239</v>
      </c>
      <c r="BR12" s="210">
        <f>+'NOTAS ERI'!BO10</f>
        <v>1504800</v>
      </c>
      <c r="BS12" s="210">
        <f>+'NOTAS ERI'!BP10</f>
        <v>2610119</v>
      </c>
      <c r="BT12" s="210">
        <f>+'NOTAS ERI'!BQ10</f>
        <v>1000000</v>
      </c>
      <c r="BU12" s="210">
        <f>+'NOTAS ERI'!BR10</f>
        <v>1000000</v>
      </c>
      <c r="BW12" s="210">
        <f>+'NOTAS ERI'!BT10</f>
        <v>29847361</v>
      </c>
      <c r="BX12" s="210">
        <f>+'NOTAS ERI'!BU37</f>
        <v>0</v>
      </c>
      <c r="BY12" s="210">
        <f>+'NOTAS ERI'!BV37</f>
        <v>0</v>
      </c>
      <c r="BZ12" s="210">
        <f>+'NOTAS ERI'!BW37</f>
        <v>0</v>
      </c>
      <c r="CA12" s="210">
        <f>+'NOTAS ERI'!BX37</f>
        <v>0</v>
      </c>
      <c r="CB12" s="210">
        <f>+'NOTAS ERI'!BY37</f>
        <v>0</v>
      </c>
      <c r="CC12" s="210">
        <f>+'NOTAS ERI'!BZ37</f>
        <v>0</v>
      </c>
      <c r="CD12" s="176"/>
      <c r="CE12" s="210">
        <f>+'NOTAS ERI'!CB37</f>
        <v>0</v>
      </c>
      <c r="CF12" s="210" t="e">
        <f>+'NOTAS ERI'!#REF!</f>
        <v>#REF!</v>
      </c>
      <c r="CG12" s="176"/>
      <c r="CH12" s="210" t="e">
        <f>+'NOTAS ERI'!#REF!</f>
        <v>#REF!</v>
      </c>
    </row>
    <row r="13" spans="1:87" ht="12.75" customHeight="1">
      <c r="B13" s="192" t="s">
        <v>129</v>
      </c>
      <c r="C13" s="211"/>
      <c r="D13" s="176"/>
      <c r="E13" s="210">
        <f>SUM(F13:Q13)</f>
        <v>-21213878</v>
      </c>
      <c r="F13" s="210">
        <f>+'NOTAS ERI'!C38</f>
        <v>0</v>
      </c>
      <c r="G13" s="210">
        <f>+'NOTAS ERI'!D38</f>
        <v>0</v>
      </c>
      <c r="H13" s="210">
        <f>+'NOTAS ERI'!E38</f>
        <v>0</v>
      </c>
      <c r="I13" s="210">
        <f>+'NOTAS ERI'!F38</f>
        <v>0</v>
      </c>
      <c r="J13" s="210">
        <f>+'NOTAS ERI'!G38</f>
        <v>0</v>
      </c>
      <c r="K13" s="210">
        <f>+'NOTAS ERI'!H38</f>
        <v>0</v>
      </c>
      <c r="L13" s="210">
        <f>+'NOTAS ERI'!I38</f>
        <v>0</v>
      </c>
      <c r="M13" s="210">
        <f>+'NOTAS ERI'!J38</f>
        <v>0</v>
      </c>
      <c r="N13" s="210">
        <f>+'NOTAS ERI'!K38</f>
        <v>0</v>
      </c>
      <c r="O13" s="210">
        <f>+'NOTAS ERI'!L38</f>
        <v>0</v>
      </c>
      <c r="P13" s="210">
        <f>+'NOTAS ERI'!M38</f>
        <v>0</v>
      </c>
      <c r="Q13" s="210">
        <f>+'NOTAS ERI'!N38</f>
        <v>-21213878</v>
      </c>
      <c r="R13" s="176"/>
      <c r="S13" s="210">
        <f>SUM(T13:AE13)</f>
        <v>-28714079</v>
      </c>
      <c r="T13" s="209">
        <f>+'NOTAS ERI'!Q38</f>
        <v>0</v>
      </c>
      <c r="U13" s="209">
        <f>+'NOTAS ERI'!R38</f>
        <v>0</v>
      </c>
      <c r="V13" s="209">
        <f>+'NOTAS ERI'!S38</f>
        <v>0</v>
      </c>
      <c r="W13" s="209">
        <f>+'NOTAS ERI'!T38</f>
        <v>0</v>
      </c>
      <c r="X13" s="209">
        <f>+'NOTAS ERI'!U38</f>
        <v>0</v>
      </c>
      <c r="Y13" s="209">
        <f>+'NOTAS ERI'!V38</f>
        <v>-27648469</v>
      </c>
      <c r="Z13" s="209">
        <f>+'NOTAS ERI'!W38</f>
        <v>0</v>
      </c>
      <c r="AA13" s="209">
        <f>+'NOTAS ERI'!X38</f>
        <v>0</v>
      </c>
      <c r="AB13" s="209">
        <f>+'NOTAS ERI'!Y38</f>
        <v>-445610</v>
      </c>
      <c r="AC13" s="209">
        <f>+'NOTAS ERI'!Z38</f>
        <v>0</v>
      </c>
      <c r="AD13" s="209">
        <f>+'NOTAS ERI'!AA38</f>
        <v>-620000</v>
      </c>
      <c r="AE13" s="209">
        <f>+'NOTAS ERI'!AB38</f>
        <v>0</v>
      </c>
      <c r="AF13" s="176"/>
      <c r="AG13" s="209">
        <f>+'NOTAS ERI'!AD38</f>
        <v>-1160000</v>
      </c>
      <c r="AH13" s="209">
        <f>+'NOTAS ERI'!AE38</f>
        <v>0</v>
      </c>
      <c r="AI13" s="209">
        <f>+'NOTAS ERI'!AF38</f>
        <v>0</v>
      </c>
      <c r="AJ13" s="209">
        <f>+'NOTAS ERI'!AG38</f>
        <v>-620000</v>
      </c>
      <c r="AK13" s="209">
        <f>+'NOTAS ERI'!AH38</f>
        <v>0</v>
      </c>
      <c r="AL13" s="209">
        <f>+'NOTAS ERI'!AI38</f>
        <v>0</v>
      </c>
      <c r="AM13" s="209">
        <f>+'NOTAS ERI'!AJ38</f>
        <v>0</v>
      </c>
      <c r="AN13" s="209">
        <f>+'NOTAS ERI'!AK38</f>
        <v>0</v>
      </c>
      <c r="AO13" s="209">
        <f>+'NOTAS ERI'!AL38</f>
        <v>0</v>
      </c>
      <c r="AP13" s="209">
        <f>+'NOTAS ERI'!AM38</f>
        <v>-540000</v>
      </c>
      <c r="AQ13" s="209">
        <f>+'NOTAS ERI'!AN38</f>
        <v>0</v>
      </c>
      <c r="AR13" s="209">
        <f>+'NOTAS ERI'!AO38</f>
        <v>0</v>
      </c>
      <c r="AS13" s="209">
        <f>+'NOTAS ERI'!AP38</f>
        <v>0</v>
      </c>
      <c r="AT13" s="176"/>
      <c r="AU13" s="209">
        <f>SUM(AV13:BG13)</f>
        <v>-3170000</v>
      </c>
      <c r="AV13" s="209">
        <f>+'NOTAS ERI'!AS38</f>
        <v>0</v>
      </c>
      <c r="AW13" s="209">
        <f>+'NOTAS ERI'!AT38</f>
        <v>0</v>
      </c>
      <c r="AX13" s="209">
        <f>+'NOTAS ERI'!AU38</f>
        <v>-1500000</v>
      </c>
      <c r="AY13" s="209">
        <f>+'NOTAS ERI'!AV38</f>
        <v>0</v>
      </c>
      <c r="AZ13" s="209">
        <f>+'NOTAS ERI'!AW38</f>
        <v>-470000</v>
      </c>
      <c r="BA13" s="209">
        <f>+'NOTAS ERI'!AX38</f>
        <v>0</v>
      </c>
      <c r="BB13" s="209">
        <f>+'NOTAS ERI'!AY38</f>
        <v>0</v>
      </c>
      <c r="BC13" s="209">
        <f>+'NOTAS ERI'!AZ38</f>
        <v>-200000</v>
      </c>
      <c r="BD13" s="209">
        <f>+'NOTAS ERI'!BA38</f>
        <v>0</v>
      </c>
      <c r="BE13" s="209">
        <f>+'NOTAS ERI'!BB38</f>
        <v>-1000000</v>
      </c>
      <c r="BF13" s="209">
        <f>+'NOTAS ERI'!BC38</f>
        <v>0</v>
      </c>
      <c r="BG13" s="209">
        <f>+'NOTAS ERI'!BD38</f>
        <v>0</v>
      </c>
      <c r="BH13" s="207"/>
      <c r="BI13" s="210">
        <f>SUM(BJ13:BU13)</f>
        <v>-3243739</v>
      </c>
      <c r="BJ13" s="209">
        <f>+'NOTAS ERI'!BG38</f>
        <v>0</v>
      </c>
      <c r="BK13" s="209">
        <f>+'NOTAS ERI'!BH38</f>
        <v>0</v>
      </c>
      <c r="BL13" s="209">
        <f>+'NOTAS ERI'!BI38</f>
        <v>0</v>
      </c>
      <c r="BM13" s="209">
        <f>+'NOTAS ERI'!BJ38</f>
        <v>0</v>
      </c>
      <c r="BN13" s="209">
        <f>+'NOTAS ERI'!BK38</f>
        <v>-1137500</v>
      </c>
      <c r="BO13" s="209">
        <f>+'NOTAS ERI'!BL38</f>
        <v>0</v>
      </c>
      <c r="BP13" s="209">
        <f>+'NOTAS ERI'!BM38</f>
        <v>0</v>
      </c>
      <c r="BQ13" s="209">
        <f>+'NOTAS ERI'!BN38</f>
        <v>-1106239</v>
      </c>
      <c r="BR13" s="209">
        <f>+'NOTAS ERI'!BO38</f>
        <v>-1000000</v>
      </c>
      <c r="BS13" s="209">
        <f>+'NOTAS ERI'!BP38</f>
        <v>0</v>
      </c>
      <c r="BT13" s="209">
        <f>+'NOTAS ERI'!BQ38</f>
        <v>0</v>
      </c>
      <c r="BU13" s="209">
        <f>+'NOTAS ERI'!BR38</f>
        <v>0</v>
      </c>
      <c r="BW13" s="209">
        <f>+'NOTAS ERI'!BT38</f>
        <v>-11403361</v>
      </c>
      <c r="BX13" s="209" t="e">
        <f>+'NOTAS ERI'!#REF!</f>
        <v>#REF!</v>
      </c>
      <c r="BY13" s="209" t="e">
        <f>+'NOTAS ERI'!#REF!</f>
        <v>#REF!</v>
      </c>
      <c r="BZ13" s="209" t="e">
        <f>+'NOTAS ERI'!#REF!</f>
        <v>#REF!</v>
      </c>
      <c r="CA13" s="209" t="e">
        <f>+'NOTAS ERI'!#REF!</f>
        <v>#REF!</v>
      </c>
      <c r="CB13" s="209" t="e">
        <f>+'NOTAS ERI'!#REF!</f>
        <v>#REF!</v>
      </c>
      <c r="CC13" s="209" t="e">
        <f>+'NOTAS ERI'!#REF!</f>
        <v>#REF!</v>
      </c>
      <c r="CD13" s="176"/>
      <c r="CE13" s="209">
        <v>0</v>
      </c>
      <c r="CF13" s="210" t="e">
        <f>+'NOTAS ERI'!#REF!</f>
        <v>#REF!</v>
      </c>
      <c r="CG13" s="176"/>
      <c r="CH13" s="210" t="e">
        <f>+'NOTAS ERI'!#REF!</f>
        <v>#REF!</v>
      </c>
    </row>
    <row r="14" spans="1:87" ht="12.75" customHeight="1">
      <c r="B14" s="192"/>
      <c r="C14" s="211"/>
      <c r="D14" s="176"/>
      <c r="E14" s="210">
        <f>SUM(R14:AM14)</f>
        <v>0</v>
      </c>
      <c r="F14" s="210">
        <f t="shared" ref="F14:Q14" si="27">SUM(H14:AC14)</f>
        <v>0</v>
      </c>
      <c r="G14" s="210">
        <f t="shared" si="27"/>
        <v>0</v>
      </c>
      <c r="H14" s="210">
        <f t="shared" si="27"/>
        <v>0</v>
      </c>
      <c r="I14" s="210">
        <f t="shared" si="27"/>
        <v>0</v>
      </c>
      <c r="J14" s="210">
        <f t="shared" si="27"/>
        <v>0</v>
      </c>
      <c r="K14" s="210">
        <f t="shared" si="27"/>
        <v>0</v>
      </c>
      <c r="L14" s="210">
        <f t="shared" si="27"/>
        <v>0</v>
      </c>
      <c r="M14" s="210">
        <f t="shared" si="27"/>
        <v>0</v>
      </c>
      <c r="N14" s="210">
        <f t="shared" si="27"/>
        <v>0</v>
      </c>
      <c r="O14" s="210">
        <f t="shared" si="27"/>
        <v>0</v>
      </c>
      <c r="P14" s="210">
        <f t="shared" si="27"/>
        <v>0</v>
      </c>
      <c r="Q14" s="210">
        <f t="shared" si="27"/>
        <v>0</v>
      </c>
      <c r="R14" s="176"/>
      <c r="S14" s="210">
        <f>SUM(T14:AO14)</f>
        <v>0</v>
      </c>
      <c r="T14" s="210">
        <f t="shared" ref="T14:AE14" si="28">SUM(U14:AF14)</f>
        <v>0</v>
      </c>
      <c r="U14" s="210">
        <f t="shared" si="28"/>
        <v>0</v>
      </c>
      <c r="V14" s="210">
        <f t="shared" si="28"/>
        <v>0</v>
      </c>
      <c r="W14" s="210">
        <f t="shared" si="28"/>
        <v>0</v>
      </c>
      <c r="X14" s="210">
        <f t="shared" si="28"/>
        <v>0</v>
      </c>
      <c r="Y14" s="210">
        <f t="shared" si="28"/>
        <v>0</v>
      </c>
      <c r="Z14" s="210">
        <f t="shared" si="28"/>
        <v>0</v>
      </c>
      <c r="AA14" s="210">
        <f t="shared" si="28"/>
        <v>0</v>
      </c>
      <c r="AB14" s="210">
        <f t="shared" si="28"/>
        <v>0</v>
      </c>
      <c r="AC14" s="210">
        <f t="shared" si="28"/>
        <v>0</v>
      </c>
      <c r="AD14" s="210">
        <f t="shared" si="28"/>
        <v>0</v>
      </c>
      <c r="AE14" s="210">
        <f t="shared" si="28"/>
        <v>0</v>
      </c>
      <c r="AF14" s="176"/>
      <c r="AG14" s="210">
        <f>SUM(AH14:AS14)</f>
        <v>0</v>
      </c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176"/>
      <c r="AU14" s="209">
        <f t="shared" ref="AU14:AU50" si="29">SUM(BB14:BG14)</f>
        <v>0</v>
      </c>
      <c r="AV14" s="209"/>
      <c r="AW14" s="209"/>
      <c r="AX14" s="209"/>
      <c r="AY14" s="209"/>
      <c r="AZ14" s="209"/>
      <c r="BA14" s="209"/>
      <c r="BB14" s="209"/>
      <c r="BC14" s="209"/>
      <c r="BD14" s="209"/>
      <c r="BE14" s="209"/>
      <c r="BF14" s="209"/>
      <c r="BG14" s="209"/>
      <c r="BH14" s="207"/>
      <c r="BI14" s="209"/>
      <c r="BJ14" s="209"/>
      <c r="BK14" s="209"/>
      <c r="BL14" s="209"/>
      <c r="BM14" s="209"/>
      <c r="BN14" s="209"/>
      <c r="BO14" s="209"/>
      <c r="BP14" s="209"/>
      <c r="BQ14" s="209"/>
      <c r="BR14" s="209"/>
      <c r="BS14" s="209"/>
      <c r="BT14" s="209"/>
      <c r="BU14" s="209"/>
      <c r="BW14" s="209"/>
      <c r="BX14" s="209"/>
      <c r="BY14" s="209"/>
      <c r="BZ14" s="209"/>
      <c r="CA14" s="209"/>
      <c r="CB14" s="209"/>
      <c r="CC14" s="209"/>
      <c r="CD14" s="176"/>
      <c r="CE14" s="209"/>
      <c r="CF14" s="210"/>
      <c r="CG14" s="176"/>
      <c r="CH14" s="210"/>
    </row>
    <row r="15" spans="1:87" ht="15" customHeight="1">
      <c r="A15" s="207"/>
      <c r="B15" s="196" t="s">
        <v>130</v>
      </c>
      <c r="C15" s="208">
        <v>15</v>
      </c>
      <c r="E15" s="201">
        <f t="shared" ref="E15:Q15" si="30">SUM(E17)</f>
        <v>0</v>
      </c>
      <c r="F15" s="201">
        <f t="shared" ref="F15:G15" si="31">SUM(F17)</f>
        <v>0</v>
      </c>
      <c r="G15" s="201">
        <f t="shared" si="31"/>
        <v>0</v>
      </c>
      <c r="H15" s="201">
        <f t="shared" si="30"/>
        <v>0</v>
      </c>
      <c r="I15" s="201">
        <f t="shared" ref="I15:J15" si="32">SUM(I17)</f>
        <v>0</v>
      </c>
      <c r="J15" s="201">
        <f t="shared" si="32"/>
        <v>0</v>
      </c>
      <c r="K15" s="201">
        <f t="shared" si="30"/>
        <v>0</v>
      </c>
      <c r="L15" s="201">
        <f t="shared" ref="L15:M15" si="33">SUM(L17)</f>
        <v>0</v>
      </c>
      <c r="M15" s="201">
        <f t="shared" si="33"/>
        <v>0</v>
      </c>
      <c r="N15" s="201">
        <f t="shared" si="30"/>
        <v>0</v>
      </c>
      <c r="O15" s="201">
        <f t="shared" ref="O15:P15" si="34">SUM(O17)</f>
        <v>0</v>
      </c>
      <c r="P15" s="201">
        <f t="shared" si="34"/>
        <v>0</v>
      </c>
      <c r="Q15" s="201">
        <f t="shared" si="30"/>
        <v>0</v>
      </c>
      <c r="S15" s="201">
        <f t="shared" ref="S15:AE15" si="35">SUM(S17)</f>
        <v>2492.75</v>
      </c>
      <c r="T15" s="201">
        <f t="shared" ref="T15" si="36">SUM(T17)</f>
        <v>0</v>
      </c>
      <c r="U15" s="201">
        <f t="shared" si="35"/>
        <v>0</v>
      </c>
      <c r="V15" s="201">
        <f t="shared" ref="V15:W15" si="37">SUM(V17)</f>
        <v>0</v>
      </c>
      <c r="W15" s="201">
        <f t="shared" si="37"/>
        <v>0</v>
      </c>
      <c r="X15" s="201">
        <f t="shared" si="35"/>
        <v>0</v>
      </c>
      <c r="Y15" s="201">
        <f t="shared" ref="Y15:Z15" si="38">SUM(Y17)</f>
        <v>0</v>
      </c>
      <c r="Z15" s="201">
        <f t="shared" si="38"/>
        <v>0</v>
      </c>
      <c r="AA15" s="201">
        <f t="shared" si="35"/>
        <v>839</v>
      </c>
      <c r="AB15" s="201">
        <f t="shared" si="35"/>
        <v>813</v>
      </c>
      <c r="AC15" s="201">
        <f t="shared" si="35"/>
        <v>0</v>
      </c>
      <c r="AD15" s="201">
        <f t="shared" si="35"/>
        <v>0</v>
      </c>
      <c r="AE15" s="201">
        <f t="shared" si="35"/>
        <v>840.75</v>
      </c>
      <c r="AG15" s="201">
        <f>SUM(AG17)</f>
        <v>2182</v>
      </c>
      <c r="AH15" s="201">
        <f>+AH16+AH18+AH17</f>
        <v>638</v>
      </c>
      <c r="AI15" s="201">
        <f>+AI16+AI18+AI17</f>
        <v>0</v>
      </c>
      <c r="AJ15" s="201">
        <f>+AJ16+AJ18+AJ17</f>
        <v>0</v>
      </c>
      <c r="AK15" s="201">
        <f>+AK16+AK18+AK17</f>
        <v>879</v>
      </c>
      <c r="AL15" s="201">
        <f t="shared" ref="AL15:AM15" si="39">+AL16+AL18+AL17</f>
        <v>0</v>
      </c>
      <c r="AM15" s="201">
        <f t="shared" si="39"/>
        <v>0</v>
      </c>
      <c r="AN15" s="201">
        <f t="shared" ref="AN15:AS15" si="40">+AN16+AN18+AN17</f>
        <v>369</v>
      </c>
      <c r="AO15" s="201">
        <f t="shared" si="40"/>
        <v>296</v>
      </c>
      <c r="AP15" s="201">
        <f>+AP16+AP18+AP17</f>
        <v>0</v>
      </c>
      <c r="AQ15" s="201">
        <f t="shared" si="40"/>
        <v>0</v>
      </c>
      <c r="AR15" s="201">
        <f t="shared" si="40"/>
        <v>0</v>
      </c>
      <c r="AS15" s="201">
        <f t="shared" si="40"/>
        <v>0</v>
      </c>
      <c r="AU15" s="201">
        <f>SUM(AU17)</f>
        <v>200</v>
      </c>
      <c r="AV15" s="201">
        <f t="shared" ref="AV15:BA15" si="41">+AV16+AV18+AV17</f>
        <v>0</v>
      </c>
      <c r="AW15" s="201">
        <f t="shared" si="41"/>
        <v>0</v>
      </c>
      <c r="AX15" s="201">
        <f t="shared" si="41"/>
        <v>0</v>
      </c>
      <c r="AY15" s="201">
        <f t="shared" si="41"/>
        <v>0</v>
      </c>
      <c r="AZ15" s="201">
        <f t="shared" si="41"/>
        <v>400</v>
      </c>
      <c r="BA15" s="201">
        <f t="shared" si="41"/>
        <v>0</v>
      </c>
      <c r="BB15" s="201">
        <f t="shared" ref="BB15:BC15" si="42">+BB16+BB18</f>
        <v>0</v>
      </c>
      <c r="BC15" s="201">
        <f t="shared" si="42"/>
        <v>0</v>
      </c>
      <c r="BD15" s="201">
        <f t="shared" ref="BD15:BE15" si="43">+BD16+BD18</f>
        <v>0</v>
      </c>
      <c r="BE15" s="201">
        <f t="shared" si="43"/>
        <v>0</v>
      </c>
      <c r="BF15" s="201">
        <f t="shared" ref="BF15:BG15" si="44">+BF16+BF18</f>
        <v>0</v>
      </c>
      <c r="BG15" s="201">
        <f t="shared" si="44"/>
        <v>0</v>
      </c>
      <c r="BH15" s="195"/>
      <c r="BI15" s="201">
        <f t="shared" ref="BI15:BL15" si="45">+BI16+BI18</f>
        <v>0</v>
      </c>
      <c r="BJ15" s="201">
        <f t="shared" ref="BJ15:BK15" si="46">+BJ16+BJ18</f>
        <v>0</v>
      </c>
      <c r="BK15" s="201">
        <f t="shared" si="46"/>
        <v>0</v>
      </c>
      <c r="BL15" s="201">
        <f t="shared" si="45"/>
        <v>0</v>
      </c>
      <c r="BM15" s="201">
        <f t="shared" ref="BM15:BN15" si="47">+BM16+BM18</f>
        <v>0</v>
      </c>
      <c r="BN15" s="201">
        <f t="shared" si="47"/>
        <v>0</v>
      </c>
      <c r="BO15" s="201">
        <f t="shared" ref="BO15:BP15" si="48">+BO16+BO18</f>
        <v>0</v>
      </c>
      <c r="BP15" s="201">
        <f t="shared" si="48"/>
        <v>0</v>
      </c>
      <c r="BQ15" s="201">
        <f t="shared" ref="BQ15:BR15" si="49">+BQ16+BQ18</f>
        <v>0</v>
      </c>
      <c r="BR15" s="201">
        <f t="shared" si="49"/>
        <v>0</v>
      </c>
      <c r="BS15" s="201">
        <f t="shared" ref="BS15:BT15" si="50">+BS16+BS18</f>
        <v>0</v>
      </c>
      <c r="BT15" s="201">
        <f t="shared" si="50"/>
        <v>0</v>
      </c>
      <c r="BU15" s="201">
        <f t="shared" ref="BU15" si="51">+BU16+BU18</f>
        <v>0</v>
      </c>
      <c r="BW15" s="201">
        <f t="shared" ref="BW15:CC15" si="52">+BW16+BW18</f>
        <v>0</v>
      </c>
      <c r="BX15" s="201">
        <f t="shared" ref="BX15" si="53">+BX16+BX18</f>
        <v>0</v>
      </c>
      <c r="BY15" s="201">
        <f t="shared" si="52"/>
        <v>0</v>
      </c>
      <c r="BZ15" s="201">
        <f t="shared" ref="BZ15:CA15" si="54">+BZ16+BZ18</f>
        <v>0</v>
      </c>
      <c r="CA15" s="201">
        <f t="shared" si="54"/>
        <v>0</v>
      </c>
      <c r="CB15" s="201">
        <f t="shared" si="52"/>
        <v>0</v>
      </c>
      <c r="CC15" s="201">
        <f t="shared" si="52"/>
        <v>0</v>
      </c>
      <c r="CE15" s="201" t="e">
        <f t="shared" ref="CE15:CF15" si="55">+CE16+CE18</f>
        <v>#REF!</v>
      </c>
      <c r="CF15" s="201" t="e">
        <f t="shared" si="55"/>
        <v>#REF!</v>
      </c>
      <c r="CH15" s="201" t="e">
        <f>+CH16</f>
        <v>#REF!</v>
      </c>
    </row>
    <row r="16" spans="1:87" s="192" customFormat="1" ht="12.75" hidden="1" customHeight="1">
      <c r="B16" s="192" t="s">
        <v>131</v>
      </c>
      <c r="C16" s="211"/>
      <c r="D16" s="207"/>
      <c r="E16" s="210">
        <f>SUM(R16:AM16)</f>
        <v>0</v>
      </c>
      <c r="F16" s="210">
        <f t="shared" ref="F16:Q16" si="56">SUM(H16:AC16)</f>
        <v>0</v>
      </c>
      <c r="G16" s="210">
        <f t="shared" si="56"/>
        <v>0</v>
      </c>
      <c r="H16" s="210">
        <f t="shared" si="56"/>
        <v>0</v>
      </c>
      <c r="I16" s="210">
        <f t="shared" si="56"/>
        <v>0</v>
      </c>
      <c r="J16" s="210">
        <f t="shared" si="56"/>
        <v>0</v>
      </c>
      <c r="K16" s="210">
        <f t="shared" si="56"/>
        <v>0</v>
      </c>
      <c r="L16" s="210">
        <f t="shared" si="56"/>
        <v>0</v>
      </c>
      <c r="M16" s="210">
        <f t="shared" si="56"/>
        <v>0</v>
      </c>
      <c r="N16" s="210">
        <f t="shared" si="56"/>
        <v>0</v>
      </c>
      <c r="O16" s="210">
        <f t="shared" si="56"/>
        <v>0</v>
      </c>
      <c r="P16" s="210">
        <f t="shared" si="56"/>
        <v>0</v>
      </c>
      <c r="Q16" s="210">
        <f t="shared" si="56"/>
        <v>0</v>
      </c>
      <c r="R16" s="207"/>
      <c r="S16" s="210">
        <f>SUM(T16:AO16)</f>
        <v>0</v>
      </c>
      <c r="T16" s="210">
        <f t="shared" ref="T16:AE16" si="57">SUM(U16:AF16)</f>
        <v>0</v>
      </c>
      <c r="U16" s="210">
        <f t="shared" si="57"/>
        <v>0</v>
      </c>
      <c r="V16" s="210">
        <f t="shared" si="57"/>
        <v>0</v>
      </c>
      <c r="W16" s="210">
        <f t="shared" si="57"/>
        <v>0</v>
      </c>
      <c r="X16" s="210">
        <f t="shared" si="57"/>
        <v>0</v>
      </c>
      <c r="Y16" s="210">
        <f t="shared" si="57"/>
        <v>0</v>
      </c>
      <c r="Z16" s="210">
        <f t="shared" si="57"/>
        <v>0</v>
      </c>
      <c r="AA16" s="210">
        <f t="shared" si="57"/>
        <v>0</v>
      </c>
      <c r="AB16" s="210">
        <f t="shared" si="57"/>
        <v>0</v>
      </c>
      <c r="AC16" s="210">
        <f t="shared" si="57"/>
        <v>0</v>
      </c>
      <c r="AD16" s="210">
        <f t="shared" si="57"/>
        <v>0</v>
      </c>
      <c r="AE16" s="210">
        <f t="shared" si="57"/>
        <v>0</v>
      </c>
      <c r="AF16" s="207"/>
      <c r="AG16" s="210">
        <f>SUM(AH16:AS16)</f>
        <v>0</v>
      </c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07"/>
      <c r="AU16" s="210">
        <f t="shared" si="29"/>
        <v>0</v>
      </c>
      <c r="AV16" s="210"/>
      <c r="AW16" s="210"/>
      <c r="AX16" s="210"/>
      <c r="AY16" s="210"/>
      <c r="AZ16" s="210">
        <f>+'NOTAS ERI'!AX41</f>
        <v>200</v>
      </c>
      <c r="BA16" s="210">
        <f>+'NOTAS ERI'!AY41</f>
        <v>0</v>
      </c>
      <c r="BB16" s="210">
        <f>+'NOTAS ERI'!AZ41</f>
        <v>0</v>
      </c>
      <c r="BC16" s="210">
        <f>+'NOTAS ERI'!BA41</f>
        <v>0</v>
      </c>
      <c r="BD16" s="210">
        <f>+'NOTAS ERI'!BB41</f>
        <v>0</v>
      </c>
      <c r="BE16" s="210">
        <f>+'NOTAS ERI'!BC41</f>
        <v>0</v>
      </c>
      <c r="BF16" s="210">
        <f>+'NOTAS ERI'!BD41</f>
        <v>0</v>
      </c>
      <c r="BG16" s="210">
        <f>+'NOTAS ERI'!BE41</f>
        <v>0</v>
      </c>
      <c r="BH16" s="176"/>
      <c r="BI16" s="210">
        <f>+'NOTAS ERI'!BF41</f>
        <v>0</v>
      </c>
      <c r="BJ16" s="210">
        <f>+'NOTAS ERI'!BG41</f>
        <v>0</v>
      </c>
      <c r="BK16" s="210">
        <f>+'NOTAS ERI'!BH41</f>
        <v>0</v>
      </c>
      <c r="BL16" s="210">
        <f>+'NOTAS ERI'!BI41</f>
        <v>0</v>
      </c>
      <c r="BM16" s="210">
        <f>+'NOTAS ERI'!BJ41</f>
        <v>0</v>
      </c>
      <c r="BN16" s="210">
        <f>+'NOTAS ERI'!BK41</f>
        <v>0</v>
      </c>
      <c r="BO16" s="210">
        <f>+'NOTAS ERI'!BL41</f>
        <v>0</v>
      </c>
      <c r="BP16" s="210">
        <f>+'NOTAS ERI'!BM41</f>
        <v>0</v>
      </c>
      <c r="BQ16" s="210">
        <f>+'NOTAS ERI'!BN41</f>
        <v>0</v>
      </c>
      <c r="BR16" s="210">
        <f>+'NOTAS ERI'!BO41</f>
        <v>0</v>
      </c>
      <c r="BS16" s="210">
        <f>+'NOTAS ERI'!BP41</f>
        <v>0</v>
      </c>
      <c r="BT16" s="210">
        <f>+'NOTAS ERI'!BQ41</f>
        <v>0</v>
      </c>
      <c r="BU16" s="210">
        <f>+'NOTAS ERI'!BR41</f>
        <v>0</v>
      </c>
      <c r="BV16" s="198"/>
      <c r="BW16" s="210">
        <f>+'NOTAS ERI'!BT41</f>
        <v>0</v>
      </c>
      <c r="BX16" s="210">
        <f>+'NOTAS ERI'!BU41</f>
        <v>0</v>
      </c>
      <c r="BY16" s="210">
        <f>+'NOTAS ERI'!BV41</f>
        <v>0</v>
      </c>
      <c r="BZ16" s="210">
        <f>+'NOTAS ERI'!BW41</f>
        <v>0</v>
      </c>
      <c r="CA16" s="210">
        <f>+'NOTAS ERI'!BX41</f>
        <v>0</v>
      </c>
      <c r="CB16" s="210">
        <f>+'NOTAS ERI'!BY41</f>
        <v>0</v>
      </c>
      <c r="CC16" s="210">
        <f>+'NOTAS ERI'!BZ41</f>
        <v>0</v>
      </c>
      <c r="CD16" s="207"/>
      <c r="CE16" s="210">
        <f>+'NOTAS ERI'!CB41</f>
        <v>0</v>
      </c>
      <c r="CF16" s="209" t="e">
        <f>+'NOTAS ERI'!#REF!</f>
        <v>#REF!</v>
      </c>
      <c r="CG16" s="207"/>
      <c r="CH16" s="209" t="e">
        <f>+'NOTAS ERI'!#REF!</f>
        <v>#REF!</v>
      </c>
    </row>
    <row r="17" spans="2:86" s="192" customFormat="1" ht="12.75" customHeight="1">
      <c r="B17" s="192" t="s">
        <v>132</v>
      </c>
      <c r="C17" s="211"/>
      <c r="D17" s="207"/>
      <c r="E17" s="210">
        <f>SUM(F17:Q17)</f>
        <v>0</v>
      </c>
      <c r="F17" s="210">
        <f>+'NOTAS ERI'!C41</f>
        <v>0</v>
      </c>
      <c r="G17" s="210">
        <f>+'NOTAS ERI'!D41</f>
        <v>0</v>
      </c>
      <c r="H17" s="210">
        <f>+'NOTAS ERI'!E41</f>
        <v>0</v>
      </c>
      <c r="I17" s="210">
        <f>+'NOTAS ERI'!F41</f>
        <v>0</v>
      </c>
      <c r="J17" s="210">
        <f>+'NOTAS ERI'!G41</f>
        <v>0</v>
      </c>
      <c r="K17" s="210">
        <f>+'NOTAS ERI'!H41</f>
        <v>0</v>
      </c>
      <c r="L17" s="210">
        <f>+'NOTAS ERI'!I41</f>
        <v>0</v>
      </c>
      <c r="M17" s="210">
        <f>+'NOTAS ERI'!J41</f>
        <v>0</v>
      </c>
      <c r="N17" s="210">
        <f>+'NOTAS ERI'!K41</f>
        <v>0</v>
      </c>
      <c r="O17" s="210">
        <f>+'NOTAS ERI'!L41</f>
        <v>0</v>
      </c>
      <c r="P17" s="210">
        <f>+'NOTAS ERI'!M41</f>
        <v>0</v>
      </c>
      <c r="Q17" s="210">
        <f>+'NOTAS ERI'!N41</f>
        <v>0</v>
      </c>
      <c r="R17" s="207"/>
      <c r="S17" s="210">
        <f>SUM(T17:AE17)</f>
        <v>2492.75</v>
      </c>
      <c r="T17" s="210">
        <f>+'NOTAS ERI'!Q41</f>
        <v>0</v>
      </c>
      <c r="U17" s="210">
        <f>+'NOTAS ERI'!R41</f>
        <v>0</v>
      </c>
      <c r="V17" s="210">
        <f>+'NOTAS ERI'!S41</f>
        <v>0</v>
      </c>
      <c r="W17" s="210">
        <f>+'NOTAS ERI'!T41</f>
        <v>0</v>
      </c>
      <c r="X17" s="210">
        <f>+'NOTAS ERI'!U41</f>
        <v>0</v>
      </c>
      <c r="Y17" s="210">
        <f>+'NOTAS ERI'!V41</f>
        <v>0</v>
      </c>
      <c r="Z17" s="210">
        <f>+'NOTAS ERI'!W41</f>
        <v>0</v>
      </c>
      <c r="AA17" s="210">
        <f>+'NOTAS ERI'!X41</f>
        <v>839</v>
      </c>
      <c r="AB17" s="210">
        <f>+'NOTAS ERI'!Y41</f>
        <v>813</v>
      </c>
      <c r="AC17" s="210">
        <f>+'NOTAS ERI'!Z41</f>
        <v>0</v>
      </c>
      <c r="AD17" s="210">
        <f>+'NOTAS ERI'!AA41</f>
        <v>0</v>
      </c>
      <c r="AE17" s="210">
        <f>+'NOTAS ERI'!AB41</f>
        <v>840.75</v>
      </c>
      <c r="AF17" s="207"/>
      <c r="AG17" s="210">
        <f>SUM(AH17:AS17)</f>
        <v>2182</v>
      </c>
      <c r="AH17" s="210">
        <f>+'NOTAS ERI'!AE41</f>
        <v>638</v>
      </c>
      <c r="AI17" s="210"/>
      <c r="AJ17" s="210"/>
      <c r="AK17" s="210">
        <f>+'NOTAS ERI'!AH41</f>
        <v>879</v>
      </c>
      <c r="AL17" s="210"/>
      <c r="AM17" s="210"/>
      <c r="AN17" s="210">
        <f>+'NOTAS ERI'!AK41</f>
        <v>369</v>
      </c>
      <c r="AO17" s="210">
        <f>+'NOTAS ERI'!AL41</f>
        <v>296</v>
      </c>
      <c r="AP17" s="210"/>
      <c r="AQ17" s="210"/>
      <c r="AR17" s="210"/>
      <c r="AS17" s="210"/>
      <c r="AT17" s="207"/>
      <c r="AU17" s="210">
        <f>SUM(AV17:BG17)</f>
        <v>200</v>
      </c>
      <c r="AV17" s="210"/>
      <c r="AW17" s="210"/>
      <c r="AX17" s="210"/>
      <c r="AY17" s="210"/>
      <c r="AZ17" s="210">
        <f>+'NOTAS ERI'!AX42</f>
        <v>200</v>
      </c>
      <c r="BA17" s="210"/>
      <c r="BB17" s="210"/>
      <c r="BC17" s="210"/>
      <c r="BD17" s="210"/>
      <c r="BE17" s="210"/>
      <c r="BF17" s="210"/>
      <c r="BG17" s="210"/>
      <c r="BH17" s="176"/>
      <c r="BI17" s="210"/>
      <c r="BJ17" s="210"/>
      <c r="BK17" s="210"/>
      <c r="BL17" s="210"/>
      <c r="BM17" s="210"/>
      <c r="BN17" s="210"/>
      <c r="BO17" s="210"/>
      <c r="BP17" s="210"/>
      <c r="BQ17" s="210"/>
      <c r="BR17" s="210"/>
      <c r="BS17" s="210"/>
      <c r="BT17" s="210"/>
      <c r="BU17" s="210"/>
      <c r="BV17" s="198"/>
      <c r="BW17" s="210"/>
      <c r="BX17" s="210"/>
      <c r="BY17" s="210"/>
      <c r="BZ17" s="210"/>
      <c r="CA17" s="210"/>
      <c r="CB17" s="210"/>
      <c r="CC17" s="210"/>
      <c r="CD17" s="207"/>
      <c r="CE17" s="210"/>
      <c r="CF17" s="209"/>
      <c r="CG17" s="207"/>
      <c r="CH17" s="209"/>
    </row>
    <row r="18" spans="2:86" s="192" customFormat="1" ht="12.75" hidden="1" customHeight="1">
      <c r="B18" s="192" t="s">
        <v>133</v>
      </c>
      <c r="C18" s="211"/>
      <c r="D18" s="207"/>
      <c r="E18" s="210">
        <f>SUM(AE18:AM18)</f>
        <v>0</v>
      </c>
      <c r="F18" s="210">
        <f t="shared" ref="F18:Q18" si="58">SUM(U18:AC18)</f>
        <v>0</v>
      </c>
      <c r="G18" s="210">
        <f t="shared" si="58"/>
        <v>0</v>
      </c>
      <c r="H18" s="210">
        <f t="shared" si="58"/>
        <v>0</v>
      </c>
      <c r="I18" s="210">
        <f t="shared" si="58"/>
        <v>0</v>
      </c>
      <c r="J18" s="210">
        <f t="shared" si="58"/>
        <v>0</v>
      </c>
      <c r="K18" s="210">
        <f t="shared" si="58"/>
        <v>0</v>
      </c>
      <c r="L18" s="210">
        <f t="shared" si="58"/>
        <v>0</v>
      </c>
      <c r="M18" s="210">
        <f t="shared" si="58"/>
        <v>0</v>
      </c>
      <c r="N18" s="210">
        <f t="shared" si="58"/>
        <v>0</v>
      </c>
      <c r="O18" s="210">
        <f t="shared" si="58"/>
        <v>0</v>
      </c>
      <c r="P18" s="210">
        <f t="shared" si="58"/>
        <v>0</v>
      </c>
      <c r="Q18" s="210">
        <f t="shared" si="58"/>
        <v>0</v>
      </c>
      <c r="R18" s="207"/>
      <c r="S18" s="210">
        <f>SUM(AG18:AO18)</f>
        <v>0</v>
      </c>
      <c r="T18" s="210">
        <f t="shared" ref="T18:AE18" si="59">SUM(X18:AF18)</f>
        <v>0</v>
      </c>
      <c r="U18" s="210">
        <f t="shared" si="59"/>
        <v>0</v>
      </c>
      <c r="V18" s="210">
        <f t="shared" si="59"/>
        <v>0</v>
      </c>
      <c r="W18" s="210">
        <f t="shared" si="59"/>
        <v>0</v>
      </c>
      <c r="X18" s="210">
        <f t="shared" si="59"/>
        <v>0</v>
      </c>
      <c r="Y18" s="210">
        <f t="shared" si="59"/>
        <v>0</v>
      </c>
      <c r="Z18" s="210">
        <f t="shared" si="59"/>
        <v>0</v>
      </c>
      <c r="AA18" s="210">
        <f t="shared" si="59"/>
        <v>0</v>
      </c>
      <c r="AB18" s="210">
        <f t="shared" si="59"/>
        <v>0</v>
      </c>
      <c r="AC18" s="210">
        <f t="shared" si="59"/>
        <v>0</v>
      </c>
      <c r="AD18" s="210">
        <f t="shared" si="59"/>
        <v>0</v>
      </c>
      <c r="AE18" s="210">
        <f t="shared" si="59"/>
        <v>0</v>
      </c>
      <c r="AF18" s="207"/>
      <c r="AG18" s="210">
        <f>SUM(AK18:AS18)</f>
        <v>0</v>
      </c>
      <c r="AH18" s="210">
        <v>0</v>
      </c>
      <c r="AI18" s="210">
        <v>0</v>
      </c>
      <c r="AJ18" s="210">
        <v>0</v>
      </c>
      <c r="AK18" s="210">
        <v>0</v>
      </c>
      <c r="AL18" s="210">
        <v>0</v>
      </c>
      <c r="AM18" s="210">
        <v>0</v>
      </c>
      <c r="AN18" s="210">
        <v>0</v>
      </c>
      <c r="AO18" s="210">
        <v>0</v>
      </c>
      <c r="AP18" s="210">
        <v>0</v>
      </c>
      <c r="AQ18" s="210">
        <v>0</v>
      </c>
      <c r="AR18" s="210">
        <v>0</v>
      </c>
      <c r="AS18" s="210">
        <v>0</v>
      </c>
      <c r="AT18" s="207"/>
      <c r="AU18" s="210">
        <f t="shared" si="29"/>
        <v>0</v>
      </c>
      <c r="AV18" s="210">
        <v>0</v>
      </c>
      <c r="AW18" s="210">
        <v>0</v>
      </c>
      <c r="AX18" s="210">
        <v>0</v>
      </c>
      <c r="AY18" s="210">
        <v>0</v>
      </c>
      <c r="AZ18" s="210">
        <v>0</v>
      </c>
      <c r="BA18" s="210">
        <v>0</v>
      </c>
      <c r="BB18" s="210">
        <v>0</v>
      </c>
      <c r="BC18" s="210">
        <v>0</v>
      </c>
      <c r="BD18" s="210">
        <v>0</v>
      </c>
      <c r="BE18" s="210">
        <v>0</v>
      </c>
      <c r="BF18" s="210">
        <v>0</v>
      </c>
      <c r="BG18" s="210">
        <v>0</v>
      </c>
      <c r="BH18" s="176"/>
      <c r="BI18" s="210">
        <v>0</v>
      </c>
      <c r="BJ18" s="210">
        <v>0</v>
      </c>
      <c r="BK18" s="210">
        <v>0</v>
      </c>
      <c r="BL18" s="210">
        <v>0</v>
      </c>
      <c r="BM18" s="210">
        <v>0</v>
      </c>
      <c r="BN18" s="210">
        <v>0</v>
      </c>
      <c r="BO18" s="210">
        <v>0</v>
      </c>
      <c r="BP18" s="210">
        <v>0</v>
      </c>
      <c r="BQ18" s="210">
        <v>0</v>
      </c>
      <c r="BR18" s="210">
        <v>0</v>
      </c>
      <c r="BS18" s="210">
        <v>0</v>
      </c>
      <c r="BT18" s="210">
        <v>0</v>
      </c>
      <c r="BU18" s="210">
        <v>0</v>
      </c>
      <c r="BV18" s="198"/>
      <c r="BW18" s="210">
        <v>0</v>
      </c>
      <c r="BX18" s="210">
        <v>0</v>
      </c>
      <c r="BY18" s="210">
        <v>0</v>
      </c>
      <c r="BZ18" s="210">
        <v>0</v>
      </c>
      <c r="CA18" s="210">
        <v>0</v>
      </c>
      <c r="CB18" s="210">
        <v>0</v>
      </c>
      <c r="CC18" s="210">
        <v>0</v>
      </c>
      <c r="CD18" s="207"/>
      <c r="CE18" s="210" t="e">
        <f>+'NOTAS ERI'!#REF!</f>
        <v>#REF!</v>
      </c>
      <c r="CF18" s="209">
        <v>0</v>
      </c>
      <c r="CG18" s="207"/>
      <c r="CH18" s="209"/>
    </row>
    <row r="19" spans="2:86">
      <c r="B19" s="192"/>
      <c r="C19" s="211"/>
      <c r="D19" s="207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7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7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/>
      <c r="AT19" s="207"/>
      <c r="AU19" s="209">
        <f t="shared" si="29"/>
        <v>0</v>
      </c>
      <c r="AV19" s="209"/>
      <c r="AW19" s="209"/>
      <c r="AX19" s="209"/>
      <c r="AY19" s="209"/>
      <c r="AZ19" s="209"/>
      <c r="BA19" s="209"/>
      <c r="BB19" s="209"/>
      <c r="BC19" s="209"/>
      <c r="BD19" s="209"/>
      <c r="BE19" s="209"/>
      <c r="BF19" s="209"/>
      <c r="BG19" s="209"/>
      <c r="BH19" s="207"/>
      <c r="BI19" s="209"/>
      <c r="BJ19" s="209"/>
      <c r="BK19" s="209"/>
      <c r="BL19" s="209"/>
      <c r="BM19" s="209"/>
      <c r="BN19" s="209"/>
      <c r="BO19" s="209"/>
      <c r="BP19" s="209"/>
      <c r="BQ19" s="209"/>
      <c r="BR19" s="209"/>
      <c r="BS19" s="209"/>
      <c r="BT19" s="209"/>
      <c r="BU19" s="209"/>
      <c r="BW19" s="209"/>
      <c r="BX19" s="209"/>
      <c r="BY19" s="209"/>
      <c r="BZ19" s="209"/>
      <c r="CA19" s="209"/>
      <c r="CB19" s="209"/>
      <c r="CC19" s="209"/>
      <c r="CD19" s="207"/>
      <c r="CE19" s="209"/>
      <c r="CF19" s="209"/>
      <c r="CG19" s="207"/>
      <c r="CH19" s="209"/>
    </row>
    <row r="20" spans="2:86">
      <c r="B20" s="212" t="s">
        <v>134</v>
      </c>
      <c r="C20" s="213"/>
      <c r="E20" s="214">
        <f t="shared" ref="E20:Q20" si="60">+E10+E15</f>
        <v>45023259</v>
      </c>
      <c r="F20" s="214">
        <f t="shared" si="60"/>
        <v>0</v>
      </c>
      <c r="G20" s="214">
        <f t="shared" si="60"/>
        <v>0</v>
      </c>
      <c r="H20" s="214">
        <f t="shared" si="60"/>
        <v>0</v>
      </c>
      <c r="I20" s="214">
        <f t="shared" si="60"/>
        <v>0</v>
      </c>
      <c r="J20" s="214">
        <f t="shared" si="60"/>
        <v>0</v>
      </c>
      <c r="K20" s="214">
        <f t="shared" si="60"/>
        <v>0</v>
      </c>
      <c r="L20" s="214">
        <f t="shared" si="60"/>
        <v>0</v>
      </c>
      <c r="M20" s="214">
        <f t="shared" si="60"/>
        <v>0</v>
      </c>
      <c r="N20" s="214">
        <f t="shared" si="60"/>
        <v>0</v>
      </c>
      <c r="O20" s="214">
        <f t="shared" si="60"/>
        <v>0</v>
      </c>
      <c r="P20" s="214">
        <f t="shared" si="60"/>
        <v>0</v>
      </c>
      <c r="Q20" s="214">
        <f t="shared" si="60"/>
        <v>45023259</v>
      </c>
      <c r="S20" s="214">
        <f>+S10+S15</f>
        <v>370325163.75</v>
      </c>
      <c r="T20" s="214">
        <f t="shared" ref="T20:U20" si="61">+T10+T15</f>
        <v>41398469</v>
      </c>
      <c r="U20" s="214">
        <f t="shared" si="61"/>
        <v>42018469</v>
      </c>
      <c r="V20" s="214">
        <f t="shared" ref="V20:W20" si="62">+V10+V15</f>
        <v>43654871</v>
      </c>
      <c r="W20" s="214">
        <f t="shared" si="62"/>
        <v>42958469</v>
      </c>
      <c r="X20" s="214">
        <f t="shared" ref="X20:Y20" si="63">+X10+X15</f>
        <v>31018469</v>
      </c>
      <c r="Y20" s="214">
        <f t="shared" si="63"/>
        <v>29178469</v>
      </c>
      <c r="Z20" s="214">
        <f t="shared" ref="Z20:AA20" si="64">+Z10+Z15</f>
        <v>28798469</v>
      </c>
      <c r="AA20" s="214">
        <f t="shared" si="64"/>
        <v>26614918</v>
      </c>
      <c r="AB20" s="214">
        <f t="shared" ref="AB20:AC20" si="65">+AB10+AB15</f>
        <v>27456782</v>
      </c>
      <c r="AC20" s="214">
        <f t="shared" si="65"/>
        <v>29548469</v>
      </c>
      <c r="AD20" s="214">
        <f t="shared" ref="AD20:AE20" si="66">+AD10+AD15</f>
        <v>26168469</v>
      </c>
      <c r="AE20" s="214">
        <f t="shared" si="66"/>
        <v>1510840.75</v>
      </c>
      <c r="AG20" s="214">
        <f t="shared" ref="AG20" si="67">+AG10+AG15</f>
        <v>95611769</v>
      </c>
      <c r="AH20" s="214">
        <f>+'NOTAS ERI'!AE44</f>
        <v>6910638</v>
      </c>
      <c r="AI20" s="214">
        <f>+'NOTAS ERI'!AF44</f>
        <v>7309587</v>
      </c>
      <c r="AJ20" s="214">
        <f>+'NOTAS ERI'!AG44</f>
        <v>6910000</v>
      </c>
      <c r="AK20" s="214">
        <f>+'NOTAS ERI'!AH44</f>
        <v>6910879</v>
      </c>
      <c r="AL20" s="214">
        <f>+'NOTAS ERI'!AI44</f>
        <v>7910000</v>
      </c>
      <c r="AM20" s="214">
        <f t="shared" ref="AM20:AN20" si="68">+AM10+AM15</f>
        <v>9270000</v>
      </c>
      <c r="AN20" s="214">
        <f t="shared" si="68"/>
        <v>7020369</v>
      </c>
      <c r="AO20" s="214">
        <f t="shared" ref="AO20" si="69">+AO10+AO15</f>
        <v>9740296</v>
      </c>
      <c r="AP20" s="214">
        <f t="shared" ref="AP20" si="70">+AP10+AP15</f>
        <v>7020000</v>
      </c>
      <c r="AQ20" s="214">
        <f t="shared" ref="AQ20" si="71">+AQ10+AQ15</f>
        <v>10820000</v>
      </c>
      <c r="AR20" s="214">
        <f t="shared" ref="AR20" si="72">+AR10+AR15</f>
        <v>7560000</v>
      </c>
      <c r="AS20" s="214">
        <f t="shared" ref="AS20" si="73">+AS10+AS15</f>
        <v>8230000</v>
      </c>
      <c r="AU20" s="214">
        <f t="shared" ref="AU20" si="74">+AU10+AU15</f>
        <v>102813214</v>
      </c>
      <c r="AV20" s="214">
        <f t="shared" ref="AV20:AW20" si="75">+AV10+AV15</f>
        <v>8185423</v>
      </c>
      <c r="AW20" s="214">
        <f t="shared" si="75"/>
        <v>8185423</v>
      </c>
      <c r="AX20" s="214">
        <f t="shared" ref="AX20:AZ20" si="76">+AX10+AX15</f>
        <v>11760000</v>
      </c>
      <c r="AY20" s="214">
        <f t="shared" si="76"/>
        <v>2360000</v>
      </c>
      <c r="AZ20" s="214">
        <f t="shared" si="76"/>
        <v>5890400</v>
      </c>
      <c r="BA20" s="214">
        <f t="shared" ref="BA20" si="77">+BA10+BA15</f>
        <v>6360000</v>
      </c>
      <c r="BB20" s="214">
        <f t="shared" ref="BB20:BC20" si="78">+BB10+BB15</f>
        <v>7080000</v>
      </c>
      <c r="BC20" s="214">
        <f t="shared" si="78"/>
        <v>41940000</v>
      </c>
      <c r="BD20" s="214">
        <f t="shared" ref="BD20:BE20" si="79">+BD10+BD15</f>
        <v>4512000</v>
      </c>
      <c r="BE20" s="214">
        <f t="shared" si="79"/>
        <v>1520000</v>
      </c>
      <c r="BF20" s="214">
        <f t="shared" ref="BF20:BG20" si="80">+BF10+BF15</f>
        <v>2080000</v>
      </c>
      <c r="BG20" s="214">
        <f t="shared" si="80"/>
        <v>2940168</v>
      </c>
      <c r="BH20" s="195"/>
      <c r="BI20" s="214">
        <f t="shared" ref="BI20:BL20" si="81">+BI10+BI15</f>
        <v>47784225</v>
      </c>
      <c r="BJ20" s="214">
        <f t="shared" ref="BJ20:BK20" si="82">+BJ10+BJ15</f>
        <v>6640168</v>
      </c>
      <c r="BK20" s="214">
        <f t="shared" si="82"/>
        <v>1970000</v>
      </c>
      <c r="BL20" s="214">
        <f t="shared" si="81"/>
        <v>3795000</v>
      </c>
      <c r="BM20" s="214">
        <f t="shared" ref="BM20:BN20" si="83">+BM10+BM15</f>
        <v>18668403</v>
      </c>
      <c r="BN20" s="214">
        <f t="shared" si="83"/>
        <v>11595735</v>
      </c>
      <c r="BO20" s="214">
        <f t="shared" ref="BO20:BP20" si="84">+BO10+BO15</f>
        <v>0</v>
      </c>
      <c r="BP20" s="214">
        <f t="shared" si="84"/>
        <v>0</v>
      </c>
      <c r="BQ20" s="214">
        <f t="shared" ref="BQ20:BR20" si="85">+BQ10+BQ15</f>
        <v>0</v>
      </c>
      <c r="BR20" s="214">
        <f t="shared" si="85"/>
        <v>504800</v>
      </c>
      <c r="BS20" s="214">
        <f t="shared" ref="BS20:BT20" si="86">+BS10+BS15</f>
        <v>2610119</v>
      </c>
      <c r="BT20" s="214">
        <f t="shared" si="86"/>
        <v>1000000</v>
      </c>
      <c r="BU20" s="214">
        <f t="shared" ref="BU20" si="87">+BU10+BU15</f>
        <v>1000000</v>
      </c>
      <c r="BW20" s="214">
        <f t="shared" ref="BW20:CC20" si="88">+BW10+BW15</f>
        <v>18444000</v>
      </c>
      <c r="BX20" s="214" t="e">
        <f t="shared" ref="BX20" si="89">+BX10+BX15</f>
        <v>#REF!</v>
      </c>
      <c r="BY20" s="214" t="e">
        <f t="shared" si="88"/>
        <v>#REF!</v>
      </c>
      <c r="BZ20" s="214" t="e">
        <f t="shared" ref="BZ20:CA20" si="90">+BZ10+BZ15</f>
        <v>#REF!</v>
      </c>
      <c r="CA20" s="214" t="e">
        <f t="shared" si="90"/>
        <v>#REF!</v>
      </c>
      <c r="CB20" s="214" t="e">
        <f t="shared" si="88"/>
        <v>#REF!</v>
      </c>
      <c r="CC20" s="214" t="e">
        <f t="shared" si="88"/>
        <v>#REF!</v>
      </c>
      <c r="CE20" s="214" t="e">
        <f t="shared" ref="CE20:CF20" si="91">+CE10+CE15</f>
        <v>#REF!</v>
      </c>
      <c r="CF20" s="214" t="e">
        <f t="shared" si="91"/>
        <v>#REF!</v>
      </c>
      <c r="CH20" s="214" t="e">
        <f>+CH10+CH16</f>
        <v>#REF!</v>
      </c>
    </row>
    <row r="21" spans="2:86" ht="12.75" customHeight="1">
      <c r="B21" s="192"/>
      <c r="C21" s="211"/>
      <c r="D21" s="207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7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7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7"/>
      <c r="AU21" s="209">
        <f t="shared" si="29"/>
        <v>0</v>
      </c>
      <c r="AV21" s="209"/>
      <c r="AW21" s="209"/>
      <c r="AX21" s="209"/>
      <c r="AY21" s="209"/>
      <c r="AZ21" s="209"/>
      <c r="BA21" s="209"/>
      <c r="BB21" s="209"/>
      <c r="BC21" s="209"/>
      <c r="BD21" s="209"/>
      <c r="BE21" s="209"/>
      <c r="BF21" s="209"/>
      <c r="BG21" s="209"/>
      <c r="BH21" s="207"/>
      <c r="BI21" s="209"/>
      <c r="BJ21" s="209"/>
      <c r="BK21" s="209"/>
      <c r="BL21" s="209"/>
      <c r="BM21" s="209"/>
      <c r="BN21" s="209"/>
      <c r="BO21" s="209"/>
      <c r="BP21" s="209"/>
      <c r="BQ21" s="209"/>
      <c r="BR21" s="209"/>
      <c r="BS21" s="209"/>
      <c r="BT21" s="209"/>
      <c r="BU21" s="209"/>
      <c r="BW21" s="209"/>
      <c r="BX21" s="209"/>
      <c r="BY21" s="209"/>
      <c r="BZ21" s="209"/>
      <c r="CA21" s="209"/>
      <c r="CB21" s="209"/>
      <c r="CC21" s="209"/>
      <c r="CD21" s="207"/>
      <c r="CE21" s="209"/>
      <c r="CF21" s="209"/>
      <c r="CG21" s="207"/>
      <c r="CH21" s="209"/>
    </row>
    <row r="22" spans="2:86" ht="12.75" customHeight="1">
      <c r="B22" s="192"/>
      <c r="C22" s="211"/>
      <c r="D22" s="207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7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7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7"/>
      <c r="AU22" s="209">
        <f t="shared" si="29"/>
        <v>0</v>
      </c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209"/>
      <c r="BG22" s="209"/>
      <c r="BH22" s="207"/>
      <c r="BI22" s="209"/>
      <c r="BJ22" s="209"/>
      <c r="BK22" s="209"/>
      <c r="BL22" s="209"/>
      <c r="BM22" s="209"/>
      <c r="BN22" s="209"/>
      <c r="BO22" s="209"/>
      <c r="BP22" s="209"/>
      <c r="BQ22" s="209"/>
      <c r="BR22" s="209"/>
      <c r="BS22" s="209"/>
      <c r="BT22" s="209"/>
      <c r="BU22" s="209"/>
      <c r="BW22" s="209"/>
      <c r="BX22" s="209"/>
      <c r="BY22" s="209"/>
      <c r="BZ22" s="209"/>
      <c r="CA22" s="209"/>
      <c r="CB22" s="209"/>
      <c r="CC22" s="209"/>
      <c r="CD22" s="207"/>
      <c r="CE22" s="209"/>
      <c r="CF22" s="209"/>
      <c r="CG22" s="207"/>
      <c r="CH22" s="209"/>
    </row>
    <row r="23" spans="2:86" ht="12.75" customHeight="1">
      <c r="B23" s="215" t="s">
        <v>135</v>
      </c>
      <c r="C23" s="216"/>
      <c r="E23" s="217">
        <f t="shared" ref="E23:Q23" si="92">+E20</f>
        <v>45023259</v>
      </c>
      <c r="F23" s="217">
        <f t="shared" ref="F23:G23" si="93">+F20</f>
        <v>0</v>
      </c>
      <c r="G23" s="217">
        <f t="shared" si="93"/>
        <v>0</v>
      </c>
      <c r="H23" s="217">
        <f t="shared" si="92"/>
        <v>0</v>
      </c>
      <c r="I23" s="217">
        <f t="shared" ref="I23:J23" si="94">+I20</f>
        <v>0</v>
      </c>
      <c r="J23" s="217">
        <f t="shared" si="94"/>
        <v>0</v>
      </c>
      <c r="K23" s="217">
        <f t="shared" si="92"/>
        <v>0</v>
      </c>
      <c r="L23" s="217">
        <f t="shared" ref="L23:M23" si="95">+L20</f>
        <v>0</v>
      </c>
      <c r="M23" s="217">
        <f t="shared" si="95"/>
        <v>0</v>
      </c>
      <c r="N23" s="217">
        <f t="shared" si="92"/>
        <v>0</v>
      </c>
      <c r="O23" s="217">
        <f t="shared" ref="O23:P23" si="96">+O20</f>
        <v>0</v>
      </c>
      <c r="P23" s="217">
        <f t="shared" si="96"/>
        <v>0</v>
      </c>
      <c r="Q23" s="217">
        <f t="shared" si="92"/>
        <v>45023259</v>
      </c>
      <c r="S23" s="217">
        <f t="shared" ref="S23:AC23" si="97">+S20</f>
        <v>370325163.75</v>
      </c>
      <c r="T23" s="217">
        <f t="shared" si="97"/>
        <v>41398469</v>
      </c>
      <c r="U23" s="217">
        <f t="shared" ref="U23:V23" si="98">+U20</f>
        <v>42018469</v>
      </c>
      <c r="V23" s="217">
        <f t="shared" si="98"/>
        <v>43654871</v>
      </c>
      <c r="W23" s="217">
        <f t="shared" si="97"/>
        <v>42958469</v>
      </c>
      <c r="X23" s="217">
        <f t="shared" ref="X23:Y23" si="99">+X20</f>
        <v>31018469</v>
      </c>
      <c r="Y23" s="217">
        <f t="shared" si="99"/>
        <v>29178469</v>
      </c>
      <c r="Z23" s="217">
        <f t="shared" si="97"/>
        <v>28798469</v>
      </c>
      <c r="AA23" s="217">
        <f t="shared" ref="AA23:AB23" si="100">+AA20</f>
        <v>26614918</v>
      </c>
      <c r="AB23" s="217">
        <f t="shared" si="100"/>
        <v>27456782</v>
      </c>
      <c r="AC23" s="217">
        <f t="shared" si="97"/>
        <v>29548469</v>
      </c>
      <c r="AD23" s="217">
        <f t="shared" ref="AD23:AE23" si="101">+AD20</f>
        <v>26168469</v>
      </c>
      <c r="AE23" s="217">
        <f t="shared" si="101"/>
        <v>1510840.75</v>
      </c>
      <c r="AG23" s="217">
        <f t="shared" ref="AG23" si="102">+AG20</f>
        <v>95611769</v>
      </c>
      <c r="AH23" s="217">
        <f t="shared" ref="AH23:AI23" si="103">+AH20</f>
        <v>6910638</v>
      </c>
      <c r="AI23" s="217">
        <f t="shared" si="103"/>
        <v>7309587</v>
      </c>
      <c r="AJ23" s="217">
        <f>+AJ20</f>
        <v>6910000</v>
      </c>
      <c r="AK23" s="217">
        <f>+AK20</f>
        <v>6910879</v>
      </c>
      <c r="AL23" s="217">
        <f t="shared" ref="AL23" si="104">+AL20</f>
        <v>7910000</v>
      </c>
      <c r="AM23" s="217">
        <f t="shared" ref="AM23:AN23" si="105">+AM20</f>
        <v>9270000</v>
      </c>
      <c r="AN23" s="217">
        <f t="shared" si="105"/>
        <v>7020369</v>
      </c>
      <c r="AO23" s="217">
        <f t="shared" ref="AO23" si="106">+AO20</f>
        <v>9740296</v>
      </c>
      <c r="AP23" s="217">
        <f t="shared" ref="AP23" si="107">+AP20</f>
        <v>7020000</v>
      </c>
      <c r="AQ23" s="217">
        <f t="shared" ref="AQ23" si="108">+AQ20</f>
        <v>10820000</v>
      </c>
      <c r="AR23" s="217">
        <f t="shared" ref="AR23" si="109">+AR20</f>
        <v>7560000</v>
      </c>
      <c r="AS23" s="217">
        <f t="shared" ref="AS23" si="110">+AS20</f>
        <v>8230000</v>
      </c>
      <c r="AU23" s="217">
        <f t="shared" ref="AU23" si="111">+AU20</f>
        <v>102813214</v>
      </c>
      <c r="AV23" s="217">
        <f t="shared" ref="AV23:AW23" si="112">+AV20</f>
        <v>8185423</v>
      </c>
      <c r="AW23" s="217">
        <f t="shared" si="112"/>
        <v>8185423</v>
      </c>
      <c r="AX23" s="217">
        <f t="shared" ref="AX23:AY23" si="113">+AX20</f>
        <v>11760000</v>
      </c>
      <c r="AY23" s="217">
        <f t="shared" si="113"/>
        <v>2360000</v>
      </c>
      <c r="AZ23" s="217">
        <f t="shared" ref="AZ23:BA23" si="114">+AZ20</f>
        <v>5890400</v>
      </c>
      <c r="BA23" s="217">
        <f t="shared" si="114"/>
        <v>6360000</v>
      </c>
      <c r="BB23" s="217">
        <f t="shared" ref="BB23:BC23" si="115">+BB20</f>
        <v>7080000</v>
      </c>
      <c r="BC23" s="217">
        <f t="shared" si="115"/>
        <v>41940000</v>
      </c>
      <c r="BD23" s="217">
        <f t="shared" ref="BD23:BE23" si="116">+BD20</f>
        <v>4512000</v>
      </c>
      <c r="BE23" s="217">
        <f t="shared" si="116"/>
        <v>1520000</v>
      </c>
      <c r="BF23" s="217">
        <f t="shared" ref="BF23:BG23" si="117">+BF20</f>
        <v>2080000</v>
      </c>
      <c r="BG23" s="217">
        <f t="shared" si="117"/>
        <v>2940168</v>
      </c>
      <c r="BH23" s="195"/>
      <c r="BI23" s="217">
        <f t="shared" ref="BI23:BL23" si="118">+BI20</f>
        <v>47784225</v>
      </c>
      <c r="BJ23" s="217">
        <f t="shared" ref="BJ23:BK23" si="119">+BJ20</f>
        <v>6640168</v>
      </c>
      <c r="BK23" s="217">
        <f t="shared" si="119"/>
        <v>1970000</v>
      </c>
      <c r="BL23" s="217">
        <f t="shared" si="118"/>
        <v>3795000</v>
      </c>
      <c r="BM23" s="217">
        <f t="shared" ref="BM23:BN23" si="120">+BM20</f>
        <v>18668403</v>
      </c>
      <c r="BN23" s="217">
        <f t="shared" si="120"/>
        <v>11595735</v>
      </c>
      <c r="BO23" s="217">
        <f t="shared" ref="BO23:BP23" si="121">+BO20</f>
        <v>0</v>
      </c>
      <c r="BP23" s="217">
        <f t="shared" si="121"/>
        <v>0</v>
      </c>
      <c r="BQ23" s="217">
        <f t="shared" ref="BQ23:BR23" si="122">+BQ20</f>
        <v>0</v>
      </c>
      <c r="BR23" s="217">
        <f t="shared" si="122"/>
        <v>504800</v>
      </c>
      <c r="BS23" s="217">
        <f t="shared" ref="BS23:BT23" si="123">+BS20</f>
        <v>2610119</v>
      </c>
      <c r="BT23" s="217">
        <f t="shared" si="123"/>
        <v>1000000</v>
      </c>
      <c r="BU23" s="217">
        <f t="shared" ref="BU23" si="124">+BU20</f>
        <v>1000000</v>
      </c>
      <c r="BW23" s="217">
        <f t="shared" ref="BW23:CC23" si="125">+BW20</f>
        <v>18444000</v>
      </c>
      <c r="BX23" s="217" t="e">
        <f t="shared" ref="BX23" si="126">+BX20</f>
        <v>#REF!</v>
      </c>
      <c r="BY23" s="217" t="e">
        <f t="shared" si="125"/>
        <v>#REF!</v>
      </c>
      <c r="BZ23" s="217" t="e">
        <f t="shared" ref="BZ23:CA23" si="127">+BZ20</f>
        <v>#REF!</v>
      </c>
      <c r="CA23" s="217" t="e">
        <f t="shared" si="127"/>
        <v>#REF!</v>
      </c>
      <c r="CB23" s="217" t="e">
        <f t="shared" si="125"/>
        <v>#REF!</v>
      </c>
      <c r="CC23" s="217" t="e">
        <f t="shared" si="125"/>
        <v>#REF!</v>
      </c>
      <c r="CE23" s="217" t="e">
        <f>+CE20</f>
        <v>#REF!</v>
      </c>
      <c r="CF23" s="217" t="e">
        <f>+CF20</f>
        <v>#REF!</v>
      </c>
      <c r="CH23" s="217" t="e">
        <f t="shared" ref="CH23" si="128">+CH20</f>
        <v>#REF!</v>
      </c>
    </row>
    <row r="24" spans="2:86" ht="12.75" customHeight="1">
      <c r="B24" s="192"/>
      <c r="C24" s="211"/>
      <c r="D24" s="207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7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7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7"/>
      <c r="AU24" s="209">
        <f t="shared" si="29"/>
        <v>0</v>
      </c>
      <c r="AV24" s="209"/>
      <c r="AW24" s="209"/>
      <c r="AX24" s="209"/>
      <c r="AY24" s="209"/>
      <c r="AZ24" s="209"/>
      <c r="BA24" s="209"/>
      <c r="BB24" s="209"/>
      <c r="BC24" s="209"/>
      <c r="BD24" s="209"/>
      <c r="BE24" s="209"/>
      <c r="BF24" s="209"/>
      <c r="BG24" s="209"/>
      <c r="BH24" s="207"/>
      <c r="BI24" s="209"/>
      <c r="BJ24" s="209"/>
      <c r="BK24" s="209"/>
      <c r="BL24" s="209"/>
      <c r="BM24" s="209"/>
      <c r="BN24" s="209"/>
      <c r="BO24" s="209"/>
      <c r="BP24" s="209"/>
      <c r="BQ24" s="209"/>
      <c r="BR24" s="209"/>
      <c r="BS24" s="209"/>
      <c r="BT24" s="209"/>
      <c r="BU24" s="209"/>
      <c r="BW24" s="209"/>
      <c r="BX24" s="209"/>
      <c r="BY24" s="209"/>
      <c r="BZ24" s="209"/>
      <c r="CA24" s="209"/>
      <c r="CB24" s="209"/>
      <c r="CC24" s="209"/>
      <c r="CD24" s="207"/>
      <c r="CE24" s="209"/>
      <c r="CF24" s="209"/>
      <c r="CG24" s="207"/>
      <c r="CH24" s="209"/>
    </row>
    <row r="25" spans="2:86">
      <c r="C25" s="211"/>
      <c r="D25" s="207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7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7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7"/>
      <c r="AU25" s="209">
        <f t="shared" si="29"/>
        <v>0</v>
      </c>
      <c r="AV25" s="209"/>
      <c r="AW25" s="209"/>
      <c r="AX25" s="209"/>
      <c r="AY25" s="209"/>
      <c r="AZ25" s="209"/>
      <c r="BA25" s="209"/>
      <c r="BB25" s="209"/>
      <c r="BC25" s="209"/>
      <c r="BD25" s="209"/>
      <c r="BE25" s="209"/>
      <c r="BF25" s="209"/>
      <c r="BG25" s="209"/>
      <c r="BH25" s="207"/>
      <c r="BI25" s="209"/>
      <c r="BJ25" s="209"/>
      <c r="BK25" s="209"/>
      <c r="BL25" s="209"/>
      <c r="BM25" s="209"/>
      <c r="BN25" s="209"/>
      <c r="BO25" s="209"/>
      <c r="BP25" s="209"/>
      <c r="BQ25" s="209"/>
      <c r="BR25" s="209"/>
      <c r="BS25" s="209"/>
      <c r="BT25" s="209"/>
      <c r="BU25" s="209"/>
      <c r="BW25" s="209"/>
      <c r="BX25" s="209"/>
      <c r="BY25" s="209"/>
      <c r="BZ25" s="209"/>
      <c r="CA25" s="209"/>
      <c r="CB25" s="209"/>
      <c r="CC25" s="209"/>
      <c r="CD25" s="207"/>
      <c r="CE25" s="209"/>
      <c r="CF25" s="209"/>
      <c r="CG25" s="207"/>
      <c r="CH25" s="209"/>
    </row>
    <row r="26" spans="2:86" ht="15">
      <c r="B26" s="218" t="s">
        <v>136</v>
      </c>
      <c r="C26" s="208">
        <v>13</v>
      </c>
      <c r="E26" s="201">
        <f t="shared" ref="E26:Q26" si="129">SUM(E27:E39)</f>
        <v>52324866</v>
      </c>
      <c r="F26" s="201">
        <f t="shared" ref="F26:G26" si="130">SUM(F27:F39)</f>
        <v>0</v>
      </c>
      <c r="G26" s="201">
        <f t="shared" si="130"/>
        <v>0</v>
      </c>
      <c r="H26" s="201">
        <f t="shared" si="129"/>
        <v>0</v>
      </c>
      <c r="I26" s="201">
        <f t="shared" ref="I26:J26" si="131">SUM(I27:I39)</f>
        <v>0</v>
      </c>
      <c r="J26" s="201">
        <f t="shared" si="131"/>
        <v>0</v>
      </c>
      <c r="K26" s="201">
        <f t="shared" si="129"/>
        <v>0</v>
      </c>
      <c r="L26" s="201">
        <f t="shared" ref="L26:M26" si="132">SUM(L27:L39)</f>
        <v>0</v>
      </c>
      <c r="M26" s="201">
        <f t="shared" si="132"/>
        <v>0</v>
      </c>
      <c r="N26" s="201">
        <f t="shared" si="129"/>
        <v>0</v>
      </c>
      <c r="O26" s="201">
        <f t="shared" ref="O26:P26" si="133">SUM(O27:O39)</f>
        <v>0</v>
      </c>
      <c r="P26" s="201">
        <f t="shared" si="133"/>
        <v>0</v>
      </c>
      <c r="Q26" s="201">
        <f t="shared" si="129"/>
        <v>52324866</v>
      </c>
      <c r="S26" s="201">
        <f t="shared" ref="S26:AE26" si="134">SUM(S27:S39)</f>
        <v>307545073</v>
      </c>
      <c r="T26" s="201">
        <f t="shared" ref="T26" si="135">SUM(T27:T39)</f>
        <v>31453969</v>
      </c>
      <c r="U26" s="201">
        <f t="shared" si="134"/>
        <v>30123840</v>
      </c>
      <c r="V26" s="201">
        <f t="shared" ref="V26:W26" si="136">SUM(V27:V39)</f>
        <v>28240530</v>
      </c>
      <c r="W26" s="201">
        <f t="shared" si="136"/>
        <v>26333745</v>
      </c>
      <c r="X26" s="201">
        <f t="shared" si="134"/>
        <v>26427628</v>
      </c>
      <c r="Y26" s="201">
        <f t="shared" ref="Y26:Z26" si="137">SUM(Y27:Y39)</f>
        <v>27604064</v>
      </c>
      <c r="Z26" s="201">
        <f t="shared" si="137"/>
        <v>27002069</v>
      </c>
      <c r="AA26" s="201">
        <f t="shared" si="134"/>
        <v>27732861</v>
      </c>
      <c r="AB26" s="201">
        <f t="shared" si="134"/>
        <v>27772973</v>
      </c>
      <c r="AC26" s="201">
        <f t="shared" si="134"/>
        <v>25842368</v>
      </c>
      <c r="AD26" s="201">
        <f t="shared" si="134"/>
        <v>21514655</v>
      </c>
      <c r="AE26" s="201">
        <f t="shared" si="134"/>
        <v>7496371</v>
      </c>
      <c r="AG26" s="201">
        <f>SUM(AG27:AG39)</f>
        <v>79716728.819999993</v>
      </c>
      <c r="AH26" s="201">
        <f>SUM(AH27:AH38)</f>
        <v>4303506</v>
      </c>
      <c r="AI26" s="201">
        <f>SUM(AI27:AI38)</f>
        <v>4349284</v>
      </c>
      <c r="AJ26" s="201">
        <f>SUM(AJ27:AJ38)</f>
        <v>4568899</v>
      </c>
      <c r="AK26" s="201">
        <f>SUM(AK27:AK38)</f>
        <v>6292759</v>
      </c>
      <c r="AL26" s="201">
        <f t="shared" ref="AL26" si="138">SUM(AL27:AL38)</f>
        <v>6292759</v>
      </c>
      <c r="AM26" s="201">
        <f t="shared" ref="AM26:AN26" si="139">SUM(AM27:AM38)</f>
        <v>6386179.1600000001</v>
      </c>
      <c r="AN26" s="201">
        <f t="shared" si="139"/>
        <v>6544793</v>
      </c>
      <c r="AO26" s="201">
        <f t="shared" ref="AO26" si="140">SUM(AO27:AO38)</f>
        <v>8358309.6600000001</v>
      </c>
      <c r="AP26" s="201">
        <f t="shared" ref="AP26" si="141">SUM(AP27:AP38)</f>
        <v>8796012</v>
      </c>
      <c r="AQ26" s="201">
        <f t="shared" ref="AQ26" si="142">SUM(AQ27:AQ38)</f>
        <v>9089012</v>
      </c>
      <c r="AR26" s="201">
        <f t="shared" ref="AR26" si="143">SUM(AR27:AR38)</f>
        <v>8414140</v>
      </c>
      <c r="AS26" s="201">
        <f t="shared" ref="AS26" si="144">SUM(AS27:AS38)</f>
        <v>6321076</v>
      </c>
      <c r="AU26" s="201">
        <f>SUM(AU27:AU39)</f>
        <v>90396886.310000002</v>
      </c>
      <c r="AV26" s="201">
        <f t="shared" ref="AV26:AW26" si="145">SUM(AV27:AV38)</f>
        <v>8962817</v>
      </c>
      <c r="AW26" s="201">
        <f t="shared" si="145"/>
        <v>6730050.0800000001</v>
      </c>
      <c r="AX26" s="201">
        <f t="shared" ref="AX26:AY26" si="146">SUM(AX27:AX38)</f>
        <v>6549541</v>
      </c>
      <c r="AY26" s="201">
        <f t="shared" si="146"/>
        <v>5670950</v>
      </c>
      <c r="AZ26" s="201">
        <f t="shared" ref="AZ26:BA26" si="147">SUM(AZ27:AZ38)</f>
        <v>6701895.1399999997</v>
      </c>
      <c r="BA26" s="201">
        <f t="shared" si="147"/>
        <v>6825244</v>
      </c>
      <c r="BB26" s="201">
        <f t="shared" ref="BB26:BC26" si="148">SUM(BB27:BB38)</f>
        <v>7165691</v>
      </c>
      <c r="BC26" s="201">
        <f t="shared" si="148"/>
        <v>6568550</v>
      </c>
      <c r="BD26" s="201">
        <f t="shared" ref="BD26:BE26" si="149">SUM(BD27:BD38)</f>
        <v>6443562</v>
      </c>
      <c r="BE26" s="201">
        <f t="shared" si="149"/>
        <v>12874733.09</v>
      </c>
      <c r="BF26" s="201">
        <f t="shared" ref="BF26:BG26" si="150">SUM(BF27:BF38)</f>
        <v>6587149</v>
      </c>
      <c r="BG26" s="201">
        <f t="shared" si="150"/>
        <v>9316704</v>
      </c>
      <c r="BH26" s="195"/>
      <c r="BI26" s="201">
        <f>SUM(BI27:BI39)</f>
        <v>47493788.506479949</v>
      </c>
      <c r="BJ26" s="201" t="e">
        <f t="shared" ref="BJ26:BK26" si="151">+BJ28+BJ33+BJ34+BJ36+BJ38</f>
        <v>#REF!</v>
      </c>
      <c r="BK26" s="201" t="e">
        <f t="shared" si="151"/>
        <v>#REF!</v>
      </c>
      <c r="BL26" s="201" t="e">
        <f>+BL28+BL33+BL34+BL36+BL38</f>
        <v>#REF!</v>
      </c>
      <c r="BM26" s="201" t="e">
        <f t="shared" ref="BM26:BT26" si="152">+BM28+BM33+BM34+BM36+BM38</f>
        <v>#REF!</v>
      </c>
      <c r="BN26" s="201" t="e">
        <f t="shared" si="152"/>
        <v>#REF!</v>
      </c>
      <c r="BO26" s="201" t="e">
        <f t="shared" si="152"/>
        <v>#REF!</v>
      </c>
      <c r="BP26" s="201" t="e">
        <f t="shared" si="152"/>
        <v>#REF!</v>
      </c>
      <c r="BQ26" s="201" t="e">
        <f t="shared" si="152"/>
        <v>#REF!</v>
      </c>
      <c r="BR26" s="201" t="e">
        <f t="shared" si="152"/>
        <v>#REF!</v>
      </c>
      <c r="BS26" s="201" t="e">
        <f t="shared" si="152"/>
        <v>#REF!</v>
      </c>
      <c r="BT26" s="201" t="e">
        <f t="shared" si="152"/>
        <v>#REF!</v>
      </c>
      <c r="BU26" s="201" t="e">
        <f>+BU28+BU33+BU34+BU36+BU38+BU35+BU37</f>
        <v>#REF!</v>
      </c>
      <c r="BW26" s="201" t="e">
        <f>SUM(BW27:BW38)</f>
        <v>#REF!</v>
      </c>
      <c r="BX26" s="201" t="e">
        <f t="shared" ref="BX26" si="153">SUM(BX27:BX38)</f>
        <v>#REF!</v>
      </c>
      <c r="BY26" s="201" t="e">
        <f t="shared" ref="BY26:CC26" si="154">SUM(BY27:BY38)</f>
        <v>#REF!</v>
      </c>
      <c r="BZ26" s="201" t="e">
        <f t="shared" ref="BZ26:CA26" si="155">SUM(BZ27:BZ38)</f>
        <v>#REF!</v>
      </c>
      <c r="CA26" s="201" t="e">
        <f t="shared" si="155"/>
        <v>#REF!</v>
      </c>
      <c r="CB26" s="201" t="e">
        <f t="shared" si="154"/>
        <v>#REF!</v>
      </c>
      <c r="CC26" s="201" t="e">
        <f t="shared" si="154"/>
        <v>#REF!</v>
      </c>
      <c r="CE26" s="201" t="e">
        <f>SUM(CE27:CE38)</f>
        <v>#REF!</v>
      </c>
      <c r="CF26" s="201" t="e">
        <f t="shared" ref="CF26:CH26" si="156">SUM(CF27:CF38)</f>
        <v>#REF!</v>
      </c>
      <c r="CH26" s="201" t="e">
        <f t="shared" si="156"/>
        <v>#REF!</v>
      </c>
    </row>
    <row r="27" spans="2:86">
      <c r="B27" s="192"/>
      <c r="C27" s="209"/>
      <c r="D27" s="207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7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7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7"/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09"/>
      <c r="BF27" s="209"/>
      <c r="BG27" s="209"/>
      <c r="BH27" s="207"/>
      <c r="BI27" s="209"/>
      <c r="BJ27" s="209"/>
      <c r="BK27" s="209"/>
      <c r="BL27" s="209"/>
      <c r="BM27" s="209"/>
      <c r="BN27" s="209"/>
      <c r="BO27" s="209"/>
      <c r="BP27" s="209"/>
      <c r="BQ27" s="209"/>
      <c r="BR27" s="209"/>
      <c r="BS27" s="209"/>
      <c r="BT27" s="209"/>
      <c r="BU27" s="209"/>
      <c r="BW27" s="209"/>
      <c r="BX27" s="209"/>
      <c r="BY27" s="209"/>
      <c r="BZ27" s="209"/>
      <c r="CA27" s="209"/>
      <c r="CB27" s="209"/>
      <c r="CC27" s="209"/>
      <c r="CD27" s="207"/>
      <c r="CE27" s="209"/>
      <c r="CF27" s="209"/>
      <c r="CG27" s="207"/>
      <c r="CH27" s="209"/>
    </row>
    <row r="28" spans="2:86">
      <c r="B28" s="192" t="s">
        <v>137</v>
      </c>
      <c r="C28" s="219"/>
      <c r="D28" s="176"/>
      <c r="E28" s="210">
        <f t="shared" ref="E28:E38" si="157">SUM(F28:Q28)</f>
        <v>28343153</v>
      </c>
      <c r="F28" s="210">
        <f>+'NOTAS ERI'!C48</f>
        <v>0</v>
      </c>
      <c r="G28" s="210">
        <f>+'NOTAS ERI'!D48</f>
        <v>0</v>
      </c>
      <c r="H28" s="210">
        <f>+'NOTAS ERI'!E48</f>
        <v>0</v>
      </c>
      <c r="I28" s="210">
        <f>+'NOTAS ERI'!F48</f>
        <v>0</v>
      </c>
      <c r="J28" s="210">
        <f>+'NOTAS ERI'!G48</f>
        <v>0</v>
      </c>
      <c r="K28" s="210">
        <f>+'NOTAS ERI'!H48</f>
        <v>0</v>
      </c>
      <c r="L28" s="210">
        <f>+'NOTAS ERI'!I48</f>
        <v>0</v>
      </c>
      <c r="M28" s="210">
        <f>+'NOTAS ERI'!J48</f>
        <v>0</v>
      </c>
      <c r="N28" s="210">
        <f>+'NOTAS ERI'!K48</f>
        <v>0</v>
      </c>
      <c r="O28" s="210">
        <f>+'NOTAS ERI'!L48</f>
        <v>0</v>
      </c>
      <c r="P28" s="210">
        <f>+'NOTAS ERI'!M48</f>
        <v>0</v>
      </c>
      <c r="Q28" s="210">
        <f>+'NOTAS ERI'!N48</f>
        <v>28343153</v>
      </c>
      <c r="R28" s="176"/>
      <c r="S28" s="210">
        <f t="shared" ref="S28:S38" si="158">SUM(T28:AE28)</f>
        <v>274839697</v>
      </c>
      <c r="T28" s="220">
        <f>+'NOTAS ERI'!Q48</f>
        <v>25704974</v>
      </c>
      <c r="U28" s="220">
        <f>+'NOTAS ERI'!R48</f>
        <v>25253559</v>
      </c>
      <c r="V28" s="220">
        <f>+'NOTAS ERI'!S48</f>
        <v>25200857</v>
      </c>
      <c r="W28" s="220">
        <f>+'NOTAS ERI'!T48</f>
        <v>24705084</v>
      </c>
      <c r="X28" s="220">
        <f>+'NOTAS ERI'!U48</f>
        <v>25034984</v>
      </c>
      <c r="Y28" s="220">
        <f>+'NOTAS ERI'!V48</f>
        <v>25453384</v>
      </c>
      <c r="Z28" s="220">
        <f>+'NOTAS ERI'!W48</f>
        <v>24717866</v>
      </c>
      <c r="AA28" s="220">
        <f>+'NOTAS ERI'!X48</f>
        <v>25225031</v>
      </c>
      <c r="AB28" s="220">
        <f>+'NOTAS ERI'!Y48</f>
        <v>25406890</v>
      </c>
      <c r="AC28" s="220">
        <f>+'NOTAS ERI'!Z48</f>
        <v>23809324</v>
      </c>
      <c r="AD28" s="220">
        <f>+'NOTAS ERI'!AA48</f>
        <v>19592880</v>
      </c>
      <c r="AE28" s="220">
        <f>+'NOTAS ERI'!AB48</f>
        <v>4734864</v>
      </c>
      <c r="AF28" s="176"/>
      <c r="AG28" s="220">
        <f>SUM(AH28:AS28)</f>
        <v>78133865</v>
      </c>
      <c r="AH28" s="220">
        <f>+'NOTAS ERI'!AE48</f>
        <v>4303506</v>
      </c>
      <c r="AI28" s="220">
        <f>+'NOTAS ERI'!AF48</f>
        <v>4303506</v>
      </c>
      <c r="AJ28" s="220">
        <f>+'NOTAS ERI'!AG48</f>
        <v>4568899</v>
      </c>
      <c r="AK28" s="220">
        <f>+'NOTAS ERI'!AH48</f>
        <v>6292759</v>
      </c>
      <c r="AL28" s="220">
        <f>+'NOTAS ERI'!AI48</f>
        <v>6292759</v>
      </c>
      <c r="AM28" s="220">
        <f>+'NOTAS ERI'!AJ48</f>
        <v>6292759</v>
      </c>
      <c r="AN28" s="220">
        <f>+'NOTAS ERI'!AK48</f>
        <v>6528793</v>
      </c>
      <c r="AO28" s="220">
        <f>+'NOTAS ERI'!AL48</f>
        <v>8282012</v>
      </c>
      <c r="AP28" s="220">
        <f>+'NOTAS ERI'!AM48</f>
        <v>8282012</v>
      </c>
      <c r="AQ28" s="220">
        <f>+'NOTAS ERI'!AN48</f>
        <v>8336012</v>
      </c>
      <c r="AR28" s="220">
        <f>+'NOTAS ERI'!AO48</f>
        <v>8358088</v>
      </c>
      <c r="AS28" s="220">
        <f>+'NOTAS ERI'!AP48</f>
        <v>6292760</v>
      </c>
      <c r="AT28" s="176"/>
      <c r="AU28" s="220">
        <f>SUM(AV28:BG28)</f>
        <v>61808180</v>
      </c>
      <c r="AV28" s="220">
        <f>+'NOTAS ERI'!AS48</f>
        <v>5656536</v>
      </c>
      <c r="AW28" s="220">
        <f>+'NOTAS ERI'!AT48</f>
        <v>5587989</v>
      </c>
      <c r="AX28" s="220">
        <f>+'NOTAS ERI'!AU48</f>
        <v>5678706</v>
      </c>
      <c r="AY28" s="220">
        <f>+'NOTAS ERI'!AV48</f>
        <v>5204740</v>
      </c>
      <c r="AZ28" s="220">
        <f>+'NOTAS ERI'!AW48</f>
        <v>5628594</v>
      </c>
      <c r="BA28" s="220">
        <f>+'NOTAS ERI'!AX48</f>
        <v>3793838</v>
      </c>
      <c r="BB28" s="220">
        <f>+'NOTAS ERI'!AY48</f>
        <v>4758686</v>
      </c>
      <c r="BC28" s="220">
        <f>+'NOTAS ERI'!AZ48</f>
        <v>3793838</v>
      </c>
      <c r="BD28" s="220">
        <f>+'NOTAS ERI'!BA48</f>
        <v>3793838</v>
      </c>
      <c r="BE28" s="220">
        <f>+'NOTAS ERI'!BB48</f>
        <v>8885447</v>
      </c>
      <c r="BF28" s="220">
        <f>+'NOTAS ERI'!BC48</f>
        <v>3793838</v>
      </c>
      <c r="BG28" s="220">
        <f>+'NOTAS ERI'!BD48</f>
        <v>5232130</v>
      </c>
      <c r="BH28" s="169"/>
      <c r="BI28" s="220">
        <f>+'NOTAS ERI'!BF48</f>
        <v>44303846.506479949</v>
      </c>
      <c r="BJ28" s="220">
        <f>+'NOTAS ERI'!BG48</f>
        <v>1751117.416176667</v>
      </c>
      <c r="BK28" s="220">
        <f>+'NOTAS ERI'!BH48</f>
        <v>7284177.4512000009</v>
      </c>
      <c r="BL28" s="220">
        <f>+'NOTAS ERI'!BI48</f>
        <v>8335077.4512000009</v>
      </c>
      <c r="BM28" s="220">
        <f>+'NOTAS ERI'!BJ48</f>
        <v>8396593.7217800003</v>
      </c>
      <c r="BN28" s="220">
        <f>+'NOTAS ERI'!BK48</f>
        <v>5226039.6812199997</v>
      </c>
      <c r="BO28" s="220">
        <f>+'NOTAS ERI'!BL48</f>
        <v>672313.54799999995</v>
      </c>
      <c r="BP28" s="220">
        <f>+'NOTAS ERI'!BM48</f>
        <v>0</v>
      </c>
      <c r="BQ28" s="220">
        <f>+'NOTAS ERI'!BN48</f>
        <v>0</v>
      </c>
      <c r="BR28" s="220">
        <f>+'NOTAS ERI'!BO48</f>
        <v>0</v>
      </c>
      <c r="BS28" s="220">
        <f>+'NOTAS ERI'!BP48</f>
        <v>0</v>
      </c>
      <c r="BT28" s="220">
        <f>+'NOTAS ERI'!BQ48</f>
        <v>307332</v>
      </c>
      <c r="BU28" s="220">
        <f>+'NOTAS ERI'!BR48</f>
        <v>3042927.44</v>
      </c>
      <c r="BW28" s="220">
        <f>+'NOTAS ERI'!BT48</f>
        <v>17377485</v>
      </c>
      <c r="BX28" s="220">
        <f>+'NOTAS ERI'!BU48</f>
        <v>17377485</v>
      </c>
      <c r="BY28" s="220">
        <f>+'NOTAS ERI'!BV48</f>
        <v>0</v>
      </c>
      <c r="BZ28" s="220">
        <f>+'NOTAS ERI'!BW48</f>
        <v>0</v>
      </c>
      <c r="CA28" s="220">
        <f>+'NOTAS ERI'!BX48</f>
        <v>0</v>
      </c>
      <c r="CB28" s="220">
        <f>+'NOTAS ERI'!BY48</f>
        <v>0</v>
      </c>
      <c r="CC28" s="220">
        <f>+'NOTAS ERI'!BZ48</f>
        <v>0</v>
      </c>
      <c r="CD28" s="176"/>
      <c r="CE28" s="220">
        <f>+'NOTAS ERI'!CB48</f>
        <v>0</v>
      </c>
      <c r="CF28" s="220" t="e">
        <f>+'NOTAS ERI'!#REF!</f>
        <v>#REF!</v>
      </c>
      <c r="CG28" s="176"/>
      <c r="CH28" s="220" t="e">
        <f>+'NOTAS ERI'!#REF!</f>
        <v>#REF!</v>
      </c>
    </row>
    <row r="29" spans="2:86" ht="12.75" customHeight="1">
      <c r="B29" s="192" t="s">
        <v>138</v>
      </c>
      <c r="C29" s="219"/>
      <c r="D29" s="176"/>
      <c r="E29" s="210">
        <f t="shared" si="157"/>
        <v>0</v>
      </c>
      <c r="F29" s="210">
        <f>+'NOTAS ERI'!C83</f>
        <v>0</v>
      </c>
      <c r="G29" s="210">
        <f>+'NOTAS ERI'!D83</f>
        <v>0</v>
      </c>
      <c r="H29" s="210">
        <f>+'NOTAS ERI'!E83</f>
        <v>0</v>
      </c>
      <c r="I29" s="210">
        <f>+'NOTAS ERI'!F83</f>
        <v>0</v>
      </c>
      <c r="J29" s="210">
        <f>+'NOTAS ERI'!G83</f>
        <v>0</v>
      </c>
      <c r="K29" s="210">
        <f>+'NOTAS ERI'!H83</f>
        <v>0</v>
      </c>
      <c r="L29" s="210">
        <f>+'NOTAS ERI'!I83</f>
        <v>0</v>
      </c>
      <c r="M29" s="210">
        <f>+'NOTAS ERI'!J83</f>
        <v>0</v>
      </c>
      <c r="N29" s="210">
        <f>+'NOTAS ERI'!K83</f>
        <v>0</v>
      </c>
      <c r="O29" s="210">
        <f>+'NOTAS ERI'!L83</f>
        <v>0</v>
      </c>
      <c r="P29" s="210">
        <f>+'NOTAS ERI'!M83</f>
        <v>0</v>
      </c>
      <c r="Q29" s="210">
        <f>+'NOTAS ERI'!N83</f>
        <v>0</v>
      </c>
      <c r="R29" s="176"/>
      <c r="S29" s="210">
        <f t="shared" si="158"/>
        <v>94000</v>
      </c>
      <c r="T29" s="220">
        <f>+'NOTAS ERI'!Q83</f>
        <v>0</v>
      </c>
      <c r="U29" s="220">
        <f>+'NOTAS ERI'!R83</f>
        <v>0</v>
      </c>
      <c r="V29" s="220">
        <f>+'NOTAS ERI'!S83</f>
        <v>0</v>
      </c>
      <c r="W29" s="220">
        <f>+'NOTAS ERI'!T83</f>
        <v>0</v>
      </c>
      <c r="X29" s="220">
        <f>+'NOTAS ERI'!U83</f>
        <v>0</v>
      </c>
      <c r="Y29" s="220">
        <f>+'NOTAS ERI'!V83</f>
        <v>0</v>
      </c>
      <c r="Z29" s="220">
        <f>+'NOTAS ERI'!W83</f>
        <v>0</v>
      </c>
      <c r="AA29" s="220">
        <f>+'NOTAS ERI'!X83</f>
        <v>0</v>
      </c>
      <c r="AB29" s="220">
        <f>+'NOTAS ERI'!Y83</f>
        <v>0</v>
      </c>
      <c r="AC29" s="220">
        <f>+'NOTAS ERI'!Z83</f>
        <v>0</v>
      </c>
      <c r="AD29" s="220">
        <f>+'NOTAS ERI'!AA83</f>
        <v>50000</v>
      </c>
      <c r="AE29" s="220">
        <f>+'NOTAS ERI'!AB83</f>
        <v>44000</v>
      </c>
      <c r="AF29" s="176"/>
      <c r="AG29" s="220">
        <f t="shared" ref="AG29:AG38" si="159">SUM(AH29:AS29)</f>
        <v>0</v>
      </c>
      <c r="AH29" s="220">
        <f>+'NOTAS ERI'!AE84</f>
        <v>0</v>
      </c>
      <c r="AI29" s="220">
        <f>+'NOTAS ERI'!AF84</f>
        <v>0</v>
      </c>
      <c r="AJ29" s="220">
        <f>+'NOTAS ERI'!AG84</f>
        <v>0</v>
      </c>
      <c r="AK29" s="220">
        <f>+'NOTAS ERI'!AH84</f>
        <v>0</v>
      </c>
      <c r="AL29" s="220">
        <f>+'NOTAS ERI'!AI84</f>
        <v>0</v>
      </c>
      <c r="AM29" s="220">
        <f>+'NOTAS ERI'!AJ84</f>
        <v>0</v>
      </c>
      <c r="AN29" s="220">
        <f>+'NOTAS ERI'!AK84</f>
        <v>0</v>
      </c>
      <c r="AO29" s="220">
        <f>+'NOTAS ERI'!AL84</f>
        <v>0</v>
      </c>
      <c r="AP29" s="220">
        <f>+'NOTAS ERI'!AM84</f>
        <v>0</v>
      </c>
      <c r="AQ29" s="220">
        <f>+'NOTAS ERI'!AN84</f>
        <v>0</v>
      </c>
      <c r="AR29" s="220">
        <f>+'NOTAS ERI'!AO84</f>
        <v>0</v>
      </c>
      <c r="AS29" s="220">
        <f>+'NOTAS ERI'!AP84</f>
        <v>0</v>
      </c>
      <c r="AT29" s="176"/>
      <c r="AU29" s="336">
        <f t="shared" ref="AU29:AU38" si="160">SUM(AV29:BG29)</f>
        <v>480000</v>
      </c>
      <c r="AV29" s="220">
        <f>+'NOTAS ERI'!AS84</f>
        <v>40000</v>
      </c>
      <c r="AW29" s="220">
        <f>+'NOTAS ERI'!AT84</f>
        <v>40000</v>
      </c>
      <c r="AX29" s="220">
        <f>+'NOTAS ERI'!AU84</f>
        <v>40000</v>
      </c>
      <c r="AY29" s="220">
        <f>+'NOTAS ERI'!AV84</f>
        <v>40000</v>
      </c>
      <c r="AZ29" s="220">
        <f>+'NOTAS ERI'!AW84</f>
        <v>40000</v>
      </c>
      <c r="BA29" s="220">
        <f>+'NOTAS ERI'!AX84</f>
        <v>40000</v>
      </c>
      <c r="BB29" s="220">
        <f>+'NOTAS ERI'!AY84</f>
        <v>40000</v>
      </c>
      <c r="BC29" s="220">
        <f>+'NOTAS ERI'!AZ84</f>
        <v>40000</v>
      </c>
      <c r="BD29" s="220">
        <f>+'NOTAS ERI'!BA84</f>
        <v>40000</v>
      </c>
      <c r="BE29" s="220">
        <f>+'NOTAS ERI'!BB84</f>
        <v>40000</v>
      </c>
      <c r="BF29" s="220">
        <f>+'NOTAS ERI'!BC84</f>
        <v>40000</v>
      </c>
      <c r="BG29" s="220">
        <f>+'NOTAS ERI'!BD84</f>
        <v>40000</v>
      </c>
      <c r="BH29" s="169"/>
      <c r="BI29" s="220">
        <f>SUM(BJ29:BU29)</f>
        <v>480000</v>
      </c>
      <c r="BJ29" s="220">
        <f>+'NOTAS ERI'!BG83</f>
        <v>40000</v>
      </c>
      <c r="BK29" s="220">
        <f>+'NOTAS ERI'!BH83</f>
        <v>40000</v>
      </c>
      <c r="BL29" s="220">
        <f>+'NOTAS ERI'!BI83</f>
        <v>40000</v>
      </c>
      <c r="BM29" s="220">
        <f>+'NOTAS ERI'!BJ83</f>
        <v>40000</v>
      </c>
      <c r="BN29" s="220">
        <f>+'NOTAS ERI'!BK83</f>
        <v>40000</v>
      </c>
      <c r="BO29" s="220">
        <f>+'NOTAS ERI'!BL83</f>
        <v>40000</v>
      </c>
      <c r="BP29" s="220">
        <f>+'NOTAS ERI'!BM83</f>
        <v>40000</v>
      </c>
      <c r="BQ29" s="220">
        <f>+'NOTAS ERI'!BN83</f>
        <v>40000</v>
      </c>
      <c r="BR29" s="220">
        <f>+'NOTAS ERI'!BO83</f>
        <v>40000</v>
      </c>
      <c r="BS29" s="220">
        <f>+'NOTAS ERI'!BP83</f>
        <v>40000</v>
      </c>
      <c r="BT29" s="220">
        <f>+'NOTAS ERI'!BQ83</f>
        <v>40000</v>
      </c>
      <c r="BU29" s="220">
        <f>+'NOTAS ERI'!BR83</f>
        <v>40000</v>
      </c>
      <c r="BW29" s="220">
        <f>+'NOTAS ERI'!BT72</f>
        <v>0</v>
      </c>
      <c r="BX29" s="220">
        <f>+'NOTAS ERI'!BU72</f>
        <v>0</v>
      </c>
      <c r="BY29" s="220">
        <f>+'NOTAS ERI'!BV72</f>
        <v>0</v>
      </c>
      <c r="BZ29" s="220">
        <f>+'NOTAS ERI'!BW72</f>
        <v>0</v>
      </c>
      <c r="CA29" s="220">
        <f>+'NOTAS ERI'!BX72</f>
        <v>0</v>
      </c>
      <c r="CB29" s="220">
        <f>+'NOTAS ERI'!BY72</f>
        <v>0</v>
      </c>
      <c r="CC29" s="220">
        <f>+'NOTAS ERI'!BZ72</f>
        <v>0</v>
      </c>
      <c r="CD29" s="176"/>
      <c r="CE29" s="220">
        <f>+'NOTAS ERI'!CB72</f>
        <v>0</v>
      </c>
      <c r="CF29" s="220" t="e">
        <f>+'NOTAS ERI'!#REF!</f>
        <v>#REF!</v>
      </c>
      <c r="CG29" s="176"/>
      <c r="CH29" s="220" t="e">
        <f>+'NOTAS ERI'!#REF!</f>
        <v>#REF!</v>
      </c>
    </row>
    <row r="30" spans="2:86" ht="12.75" customHeight="1">
      <c r="B30" s="192" t="s">
        <v>139</v>
      </c>
      <c r="C30" s="219"/>
      <c r="D30" s="176"/>
      <c r="E30" s="210">
        <f t="shared" si="157"/>
        <v>0</v>
      </c>
      <c r="F30" s="210">
        <f>+'NOTAS ERI'!C74</f>
        <v>0</v>
      </c>
      <c r="G30" s="210">
        <f>+'NOTAS ERI'!D74</f>
        <v>0</v>
      </c>
      <c r="H30" s="210">
        <f>+'NOTAS ERI'!E74</f>
        <v>0</v>
      </c>
      <c r="I30" s="210">
        <f>+'NOTAS ERI'!F74</f>
        <v>0</v>
      </c>
      <c r="J30" s="210">
        <f>+'NOTAS ERI'!G74</f>
        <v>0</v>
      </c>
      <c r="K30" s="210">
        <f>+'NOTAS ERI'!H74</f>
        <v>0</v>
      </c>
      <c r="L30" s="210">
        <f>+'NOTAS ERI'!I74</f>
        <v>0</v>
      </c>
      <c r="M30" s="210">
        <f>+'NOTAS ERI'!J74</f>
        <v>0</v>
      </c>
      <c r="N30" s="210">
        <f>+'NOTAS ERI'!K74</f>
        <v>0</v>
      </c>
      <c r="O30" s="210">
        <f>+'NOTAS ERI'!L74</f>
        <v>0</v>
      </c>
      <c r="P30" s="210">
        <f>+'NOTAS ERI'!M74</f>
        <v>0</v>
      </c>
      <c r="Q30" s="210">
        <f>+'NOTAS ERI'!N74</f>
        <v>0</v>
      </c>
      <c r="R30" s="176"/>
      <c r="S30" s="210">
        <f t="shared" si="158"/>
        <v>478000</v>
      </c>
      <c r="T30" s="220">
        <f>+'NOTAS ERI'!Q74</f>
        <v>0</v>
      </c>
      <c r="U30" s="220">
        <f>+'NOTAS ERI'!R74</f>
        <v>0</v>
      </c>
      <c r="V30" s="220">
        <f>+'NOTAS ERI'!S74</f>
        <v>0</v>
      </c>
      <c r="W30" s="220">
        <f>+'NOTAS ERI'!T74</f>
        <v>0</v>
      </c>
      <c r="X30" s="220">
        <f>+'NOTAS ERI'!U74</f>
        <v>0</v>
      </c>
      <c r="Y30" s="220">
        <f>+'NOTAS ERI'!V74</f>
        <v>0</v>
      </c>
      <c r="Z30" s="220">
        <f>+'NOTAS ERI'!W74</f>
        <v>0</v>
      </c>
      <c r="AA30" s="220">
        <f>+'NOTAS ERI'!X74</f>
        <v>0</v>
      </c>
      <c r="AB30" s="220">
        <f>+'NOTAS ERI'!Y74</f>
        <v>478000</v>
      </c>
      <c r="AC30" s="220">
        <f>+'NOTAS ERI'!Z74</f>
        <v>0</v>
      </c>
      <c r="AD30" s="220">
        <f>+'NOTAS ERI'!AA74</f>
        <v>0</v>
      </c>
      <c r="AE30" s="220">
        <f>+'NOTAS ERI'!AB74</f>
        <v>0</v>
      </c>
      <c r="AF30" s="176"/>
      <c r="AG30" s="220">
        <f t="shared" si="159"/>
        <v>514000</v>
      </c>
      <c r="AH30" s="220">
        <f>+'NOTAS ERI'!AE74</f>
        <v>0</v>
      </c>
      <c r="AI30" s="220">
        <f>+'NOTAS ERI'!AF74</f>
        <v>0</v>
      </c>
      <c r="AJ30" s="220">
        <f>+'NOTAS ERI'!AG74</f>
        <v>0</v>
      </c>
      <c r="AK30" s="220">
        <f>+'NOTAS ERI'!AH74</f>
        <v>0</v>
      </c>
      <c r="AL30" s="220">
        <f>+'NOTAS ERI'!AI74</f>
        <v>0</v>
      </c>
      <c r="AM30" s="220">
        <f>+'NOTAS ERI'!AJ74</f>
        <v>0</v>
      </c>
      <c r="AN30" s="220">
        <f>+'NOTAS ERI'!AK74</f>
        <v>0</v>
      </c>
      <c r="AO30" s="220">
        <f>+'NOTAS ERI'!AL74</f>
        <v>0</v>
      </c>
      <c r="AP30" s="220">
        <f>+'NOTAS ERI'!AM74</f>
        <v>514000</v>
      </c>
      <c r="AQ30" s="220">
        <f>+'NOTAS ERI'!AN74</f>
        <v>0</v>
      </c>
      <c r="AR30" s="220">
        <f>+'NOTAS ERI'!AO74</f>
        <v>0</v>
      </c>
      <c r="AS30" s="220">
        <f>+'NOTAS ERI'!AP74</f>
        <v>0</v>
      </c>
      <c r="AT30" s="176"/>
      <c r="AU30" s="220">
        <f>+'NOTAS ERI'!AR74</f>
        <v>104000</v>
      </c>
      <c r="AV30" s="220">
        <f>+'NOTAS ERI'!AS74</f>
        <v>0</v>
      </c>
      <c r="AW30" s="220">
        <f>+'NOTAS ERI'!AT74</f>
        <v>0</v>
      </c>
      <c r="AX30" s="220">
        <f>+'NOTAS ERI'!AU74</f>
        <v>0</v>
      </c>
      <c r="AY30" s="220">
        <f>+'NOTAS ERI'!AV74</f>
        <v>0</v>
      </c>
      <c r="AZ30" s="220">
        <f>+'NOTAS ERI'!AW74</f>
        <v>0</v>
      </c>
      <c r="BA30" s="220">
        <f>+'NOTAS ERI'!AX74</f>
        <v>0</v>
      </c>
      <c r="BB30" s="220">
        <f>+'NOTAS ERI'!AY74</f>
        <v>0</v>
      </c>
      <c r="BC30" s="220">
        <f>+'NOTAS ERI'!AZ74</f>
        <v>0</v>
      </c>
      <c r="BD30" s="220">
        <f>+'NOTAS ERI'!BA74</f>
        <v>0</v>
      </c>
      <c r="BE30" s="220">
        <f>+'NOTAS ERI'!BB74</f>
        <v>104000</v>
      </c>
      <c r="BF30" s="220">
        <f>+'NOTAS ERI'!BC74</f>
        <v>0</v>
      </c>
      <c r="BG30" s="220">
        <f>+'NOTAS ERI'!BD74</f>
        <v>0</v>
      </c>
      <c r="BH30" s="169"/>
      <c r="BI30" s="220">
        <v>0</v>
      </c>
      <c r="BJ30" s="220">
        <f>+'NOTAS ERI'!BG74</f>
        <v>0</v>
      </c>
      <c r="BK30" s="220">
        <f>+'NOTAS ERI'!BH74</f>
        <v>0</v>
      </c>
      <c r="BL30" s="220">
        <f>+'NOTAS ERI'!BI74</f>
        <v>0</v>
      </c>
      <c r="BM30" s="220">
        <f>+'NOTAS ERI'!BJ74</f>
        <v>0</v>
      </c>
      <c r="BN30" s="220">
        <f>+'NOTAS ERI'!BK74</f>
        <v>0</v>
      </c>
      <c r="BO30" s="220">
        <f>+'NOTAS ERI'!BL74</f>
        <v>0</v>
      </c>
      <c r="BP30" s="220">
        <f>+'NOTAS ERI'!BM74</f>
        <v>0</v>
      </c>
      <c r="BQ30" s="220">
        <f>+'NOTAS ERI'!BN74</f>
        <v>0</v>
      </c>
      <c r="BR30" s="220">
        <f>+'NOTAS ERI'!BO74</f>
        <v>0</v>
      </c>
      <c r="BS30" s="220">
        <f>+'NOTAS ERI'!BP74</f>
        <v>0</v>
      </c>
      <c r="BT30" s="220">
        <f>+'NOTAS ERI'!BQ74</f>
        <v>0</v>
      </c>
      <c r="BU30" s="220">
        <f>+'NOTAS ERI'!BR74</f>
        <v>0</v>
      </c>
      <c r="BW30" s="220">
        <f>+'NOTAS ERI'!BT74</f>
        <v>0</v>
      </c>
      <c r="BX30" s="220">
        <f>+'NOTAS ERI'!BU68</f>
        <v>0</v>
      </c>
      <c r="BY30" s="220">
        <f>+'NOTAS ERI'!BV68</f>
        <v>0</v>
      </c>
      <c r="BZ30" s="220">
        <f>+'NOTAS ERI'!BW68</f>
        <v>0</v>
      </c>
      <c r="CA30" s="220">
        <f>+'NOTAS ERI'!BX68</f>
        <v>0</v>
      </c>
      <c r="CB30" s="220">
        <f>+'NOTAS ERI'!BY68</f>
        <v>0</v>
      </c>
      <c r="CC30" s="220">
        <f>+'NOTAS ERI'!BZ68</f>
        <v>0</v>
      </c>
      <c r="CD30" s="176"/>
      <c r="CE30" s="220">
        <f>+'NOTAS ERI'!CB74</f>
        <v>0</v>
      </c>
      <c r="CF30" s="220" t="e">
        <f>+'NOTAS ERI'!#REF!</f>
        <v>#REF!</v>
      </c>
      <c r="CG30" s="176"/>
      <c r="CH30" s="220" t="e">
        <f>+'NOTAS ERI'!#REF!</f>
        <v>#REF!</v>
      </c>
    </row>
    <row r="31" spans="2:86" ht="12.75" customHeight="1">
      <c r="B31" s="192" t="s">
        <v>140</v>
      </c>
      <c r="C31" s="219"/>
      <c r="D31" s="176"/>
      <c r="E31" s="210">
        <f t="shared" si="157"/>
        <v>909260</v>
      </c>
      <c r="F31" s="210">
        <f>+'NOTAS ERI'!C78</f>
        <v>0</v>
      </c>
      <c r="G31" s="210">
        <f>+'NOTAS ERI'!D78</f>
        <v>0</v>
      </c>
      <c r="H31" s="210">
        <f>+'NOTAS ERI'!E78</f>
        <v>0</v>
      </c>
      <c r="I31" s="210">
        <f>+'NOTAS ERI'!F78</f>
        <v>0</v>
      </c>
      <c r="J31" s="210">
        <f>+'NOTAS ERI'!G78</f>
        <v>0</v>
      </c>
      <c r="K31" s="210">
        <f>+'NOTAS ERI'!H78</f>
        <v>0</v>
      </c>
      <c r="L31" s="210">
        <f>+'NOTAS ERI'!I78</f>
        <v>0</v>
      </c>
      <c r="M31" s="210">
        <f>+'NOTAS ERI'!J78</f>
        <v>0</v>
      </c>
      <c r="N31" s="210">
        <f>+'NOTAS ERI'!K78</f>
        <v>0</v>
      </c>
      <c r="O31" s="210">
        <f>+'NOTAS ERI'!L78</f>
        <v>0</v>
      </c>
      <c r="P31" s="210">
        <f>+'NOTAS ERI'!M78</f>
        <v>0</v>
      </c>
      <c r="Q31" s="210">
        <f>+'NOTAS ERI'!N78</f>
        <v>909260</v>
      </c>
      <c r="R31" s="176"/>
      <c r="S31" s="210">
        <f t="shared" si="158"/>
        <v>10135254</v>
      </c>
      <c r="T31" s="220">
        <f>+'NOTAS ERI'!Q78</f>
        <v>909260</v>
      </c>
      <c r="U31" s="220">
        <f>+'NOTAS ERI'!R78</f>
        <v>909260</v>
      </c>
      <c r="V31" s="220">
        <f>+'NOTAS ERI'!S78</f>
        <v>909260</v>
      </c>
      <c r="W31" s="220">
        <f>+'NOTAS ERI'!T78</f>
        <v>824386</v>
      </c>
      <c r="X31" s="220">
        <f>+'NOTAS ERI'!U78</f>
        <v>824386</v>
      </c>
      <c r="Y31" s="220">
        <f>+'NOTAS ERI'!V78</f>
        <v>824386</v>
      </c>
      <c r="Z31" s="220">
        <f>+'NOTAS ERI'!W78</f>
        <v>824386</v>
      </c>
      <c r="AA31" s="220">
        <f>+'NOTAS ERI'!X78</f>
        <v>824386</v>
      </c>
      <c r="AB31" s="220">
        <f>+'NOTAS ERI'!Y78</f>
        <v>824386</v>
      </c>
      <c r="AC31" s="220">
        <f>+'NOTAS ERI'!Z78</f>
        <v>824386</v>
      </c>
      <c r="AD31" s="220">
        <f>+'NOTAS ERI'!AA78</f>
        <v>824386</v>
      </c>
      <c r="AE31" s="220">
        <f>+'NOTAS ERI'!AB78</f>
        <v>812386</v>
      </c>
      <c r="AF31" s="176"/>
      <c r="AG31" s="220">
        <f t="shared" si="159"/>
        <v>0</v>
      </c>
      <c r="AH31" s="220">
        <f>+'NOTAS ERI'!AE78</f>
        <v>0</v>
      </c>
      <c r="AI31" s="220">
        <f>+'NOTAS ERI'!AF78</f>
        <v>0</v>
      </c>
      <c r="AJ31" s="220">
        <f>+'NOTAS ERI'!AG78</f>
        <v>0</v>
      </c>
      <c r="AK31" s="220">
        <f>+'NOTAS ERI'!AH78</f>
        <v>0</v>
      </c>
      <c r="AL31" s="220">
        <f>+'NOTAS ERI'!AI78</f>
        <v>0</v>
      </c>
      <c r="AM31" s="220">
        <f>+'NOTAS ERI'!AJ78</f>
        <v>0</v>
      </c>
      <c r="AN31" s="220">
        <f>+'NOTAS ERI'!AK78</f>
        <v>0</v>
      </c>
      <c r="AO31" s="220">
        <f>+'NOTAS ERI'!AL78</f>
        <v>0</v>
      </c>
      <c r="AP31" s="220">
        <f>+'NOTAS ERI'!AM78</f>
        <v>0</v>
      </c>
      <c r="AQ31" s="220">
        <f>+'NOTAS ERI'!AN78</f>
        <v>0</v>
      </c>
      <c r="AR31" s="220">
        <f>+'NOTAS ERI'!AO78</f>
        <v>0</v>
      </c>
      <c r="AS31" s="220">
        <f>+'NOTAS ERI'!AP78</f>
        <v>0</v>
      </c>
      <c r="AT31" s="176"/>
      <c r="AU31" s="220">
        <f t="shared" si="160"/>
        <v>16929629</v>
      </c>
      <c r="AV31" s="220">
        <f>+'NOTAS ERI'!AS78</f>
        <v>750370</v>
      </c>
      <c r="AW31" s="220">
        <f>+'NOTAS ERI'!AT78</f>
        <v>0</v>
      </c>
      <c r="AX31" s="220">
        <f>+'NOTAS ERI'!AU78</f>
        <v>750370</v>
      </c>
      <c r="AY31" s="220">
        <f>+'NOTAS ERI'!AV78</f>
        <v>0</v>
      </c>
      <c r="AZ31" s="220">
        <f>+'NOTAS ERI'!AW78</f>
        <v>0</v>
      </c>
      <c r="BA31" s="220">
        <f>+'NOTAS ERI'!AX78</f>
        <v>2226440</v>
      </c>
      <c r="BB31" s="220">
        <f>+'NOTAS ERI'!AY78</f>
        <v>2166005</v>
      </c>
      <c r="BC31" s="220">
        <f>+'NOTAS ERI'!AZ78</f>
        <v>2214628</v>
      </c>
      <c r="BD31" s="220">
        <f>+'NOTAS ERI'!BA78</f>
        <v>2174330</v>
      </c>
      <c r="BE31" s="220">
        <f>+'NOTAS ERI'!BB78</f>
        <v>2139908</v>
      </c>
      <c r="BF31" s="220">
        <f>+'NOTAS ERI'!BC78</f>
        <v>2262524</v>
      </c>
      <c r="BG31" s="220">
        <f>+'NOTAS ERI'!BD78</f>
        <v>2245054</v>
      </c>
      <c r="BH31" s="169"/>
      <c r="BI31" s="220">
        <v>0</v>
      </c>
      <c r="BJ31" s="220">
        <f>+'NOTAS ERI'!BG78</f>
        <v>0</v>
      </c>
      <c r="BK31" s="220">
        <f>+'NOTAS ERI'!BH78</f>
        <v>0</v>
      </c>
      <c r="BL31" s="220">
        <f>+'NOTAS ERI'!BI78</f>
        <v>0</v>
      </c>
      <c r="BM31" s="220">
        <f>+'NOTAS ERI'!BJ78</f>
        <v>0</v>
      </c>
      <c r="BN31" s="220">
        <f>+'NOTAS ERI'!BK78</f>
        <v>0</v>
      </c>
      <c r="BO31" s="220">
        <f>+'NOTAS ERI'!BL78</f>
        <v>0</v>
      </c>
      <c r="BP31" s="220">
        <f>+'NOTAS ERI'!BM78</f>
        <v>0</v>
      </c>
      <c r="BQ31" s="220">
        <f>+'NOTAS ERI'!BN78</f>
        <v>0</v>
      </c>
      <c r="BR31" s="220">
        <f>+'NOTAS ERI'!BO78</f>
        <v>0</v>
      </c>
      <c r="BS31" s="220">
        <f>+'NOTAS ERI'!BP78</f>
        <v>0</v>
      </c>
      <c r="BT31" s="220">
        <f>+'NOTAS ERI'!BQ78</f>
        <v>0</v>
      </c>
      <c r="BU31" s="220">
        <f>+'NOTAS ERI'!BR78</f>
        <v>0</v>
      </c>
      <c r="BW31" s="220">
        <f>+'NOTAS ERI'!BT78</f>
        <v>0</v>
      </c>
      <c r="BX31" s="220" t="e">
        <f>+'NOTAS ERI'!#REF!</f>
        <v>#REF!</v>
      </c>
      <c r="BY31" s="220" t="e">
        <f>+'NOTAS ERI'!#REF!</f>
        <v>#REF!</v>
      </c>
      <c r="BZ31" s="220" t="e">
        <f>+'NOTAS ERI'!#REF!</f>
        <v>#REF!</v>
      </c>
      <c r="CA31" s="220" t="e">
        <f>+'NOTAS ERI'!#REF!</f>
        <v>#REF!</v>
      </c>
      <c r="CB31" s="220" t="e">
        <f>+'NOTAS ERI'!#REF!</f>
        <v>#REF!</v>
      </c>
      <c r="CC31" s="220" t="e">
        <f>+'NOTAS ERI'!#REF!</f>
        <v>#REF!</v>
      </c>
      <c r="CD31" s="176"/>
      <c r="CE31" s="220">
        <f>+'NOTAS ERI'!CB78</f>
        <v>0</v>
      </c>
      <c r="CF31" s="220"/>
      <c r="CG31" s="176"/>
      <c r="CH31" s="220"/>
    </row>
    <row r="32" spans="2:86" ht="12.75" customHeight="1">
      <c r="B32" s="192" t="s">
        <v>141</v>
      </c>
      <c r="C32" s="219"/>
      <c r="D32" s="176"/>
      <c r="E32" s="210">
        <f t="shared" si="157"/>
        <v>949627</v>
      </c>
      <c r="F32" s="210">
        <f>+'NOTAS ERI'!C86</f>
        <v>0</v>
      </c>
      <c r="G32" s="210">
        <f>+'NOTAS ERI'!D86</f>
        <v>0</v>
      </c>
      <c r="H32" s="210">
        <f>+'NOTAS ERI'!E86</f>
        <v>0</v>
      </c>
      <c r="I32" s="210">
        <f>+'NOTAS ERI'!F86</f>
        <v>0</v>
      </c>
      <c r="J32" s="210">
        <f>+'NOTAS ERI'!G86</f>
        <v>0</v>
      </c>
      <c r="K32" s="210">
        <f>+'NOTAS ERI'!H86</f>
        <v>0</v>
      </c>
      <c r="L32" s="210">
        <f>+'NOTAS ERI'!I86</f>
        <v>0</v>
      </c>
      <c r="M32" s="210">
        <f>+'NOTAS ERI'!J86</f>
        <v>0</v>
      </c>
      <c r="N32" s="210">
        <f>+'NOTAS ERI'!K86</f>
        <v>0</v>
      </c>
      <c r="O32" s="210">
        <f>+'NOTAS ERI'!L86</f>
        <v>0</v>
      </c>
      <c r="P32" s="210">
        <f>+'NOTAS ERI'!M86</f>
        <v>0</v>
      </c>
      <c r="Q32" s="210">
        <f>+'NOTAS ERI'!N86</f>
        <v>949627</v>
      </c>
      <c r="R32" s="176"/>
      <c r="S32" s="210">
        <f t="shared" si="158"/>
        <v>991600</v>
      </c>
      <c r="T32" s="220">
        <f>+'NOTAS ERI'!Q86</f>
        <v>128248</v>
      </c>
      <c r="U32" s="220">
        <f>+'NOTAS ERI'!R86</f>
        <v>0</v>
      </c>
      <c r="V32" s="220">
        <f>+'NOTAS ERI'!S86</f>
        <v>159389</v>
      </c>
      <c r="W32" s="220">
        <f>+'NOTAS ERI'!T86</f>
        <v>0</v>
      </c>
      <c r="X32" s="220">
        <f>+'NOTAS ERI'!U86</f>
        <v>93188</v>
      </c>
      <c r="Y32" s="220">
        <f>+'NOTAS ERI'!V86</f>
        <v>0</v>
      </c>
      <c r="Z32" s="220">
        <f>+'NOTAS ERI'!W86</f>
        <v>60612</v>
      </c>
      <c r="AA32" s="220">
        <f>+'NOTAS ERI'!X86</f>
        <v>0</v>
      </c>
      <c r="AB32" s="220">
        <f>+'NOTAS ERI'!Y86</f>
        <v>0</v>
      </c>
      <c r="AC32" s="220">
        <f>+'NOTAS ERI'!Z86</f>
        <v>0</v>
      </c>
      <c r="AD32" s="220">
        <f>+'NOTAS ERI'!AA86</f>
        <v>0</v>
      </c>
      <c r="AE32" s="220">
        <f>+'NOTAS ERI'!AB86</f>
        <v>550163</v>
      </c>
      <c r="AF32" s="176"/>
      <c r="AG32" s="220">
        <f t="shared" si="159"/>
        <v>0</v>
      </c>
      <c r="AH32" s="220">
        <f>+'NOTAS ERI'!AE86</f>
        <v>0</v>
      </c>
      <c r="AI32" s="220">
        <f>+'NOTAS ERI'!AF86</f>
        <v>0</v>
      </c>
      <c r="AJ32" s="220">
        <f>+'NOTAS ERI'!AG86</f>
        <v>0</v>
      </c>
      <c r="AK32" s="220">
        <f>+'NOTAS ERI'!AH86</f>
        <v>0</v>
      </c>
      <c r="AL32" s="220">
        <f>+'NOTAS ERI'!AI86</f>
        <v>0</v>
      </c>
      <c r="AM32" s="220">
        <f>+'NOTAS ERI'!AJ86</f>
        <v>0</v>
      </c>
      <c r="AN32" s="220">
        <f>+'NOTAS ERI'!AK86</f>
        <v>0</v>
      </c>
      <c r="AO32" s="220">
        <f>+'NOTAS ERI'!AL86</f>
        <v>0</v>
      </c>
      <c r="AP32" s="220">
        <f>+'NOTAS ERI'!AM86</f>
        <v>0</v>
      </c>
      <c r="AQ32" s="220">
        <f>+'NOTAS ERI'!AN86</f>
        <v>0</v>
      </c>
      <c r="AR32" s="220">
        <f>+'NOTAS ERI'!AO86</f>
        <v>0</v>
      </c>
      <c r="AS32" s="220">
        <f>+'NOTAS ERI'!AP86</f>
        <v>0</v>
      </c>
      <c r="AT32" s="176"/>
      <c r="AU32" s="220">
        <f>+'NOTAS ERI'!AR86</f>
        <v>113321</v>
      </c>
      <c r="AV32" s="220">
        <f>+'NOTAS ERI'!AS86</f>
        <v>0</v>
      </c>
      <c r="AW32" s="220">
        <f>+'NOTAS ERI'!AT86</f>
        <v>0</v>
      </c>
      <c r="AX32" s="220">
        <f>+'NOTAS ERI'!AU86</f>
        <v>0</v>
      </c>
      <c r="AY32" s="220">
        <f>+'NOTAS ERI'!AV86</f>
        <v>0</v>
      </c>
      <c r="AZ32" s="220">
        <f>+'NOTAS ERI'!AW86</f>
        <v>0</v>
      </c>
      <c r="BA32" s="220">
        <f>+'NOTAS ERI'!AX86</f>
        <v>0</v>
      </c>
      <c r="BB32" s="220">
        <f>+'NOTAS ERI'!AY86</f>
        <v>0</v>
      </c>
      <c r="BC32" s="220">
        <f>+'NOTAS ERI'!AZ86</f>
        <v>0</v>
      </c>
      <c r="BD32" s="220">
        <f>+'NOTAS ERI'!BA86</f>
        <v>0</v>
      </c>
      <c r="BE32" s="220">
        <f>+'NOTAS ERI'!BB86</f>
        <v>0</v>
      </c>
      <c r="BF32" s="220">
        <f>+'NOTAS ERI'!BC86</f>
        <v>113321</v>
      </c>
      <c r="BG32" s="220">
        <f>+'NOTAS ERI'!BD70</f>
        <v>0</v>
      </c>
      <c r="BH32" s="169"/>
      <c r="BI32" s="220"/>
      <c r="BJ32" s="220">
        <f>+'NOTAS ERI'!BG86</f>
        <v>0</v>
      </c>
      <c r="BK32" s="220">
        <f>+'NOTAS ERI'!BH86</f>
        <v>0</v>
      </c>
      <c r="BL32" s="220">
        <f>+'NOTAS ERI'!BI86</f>
        <v>0</v>
      </c>
      <c r="BM32" s="220">
        <f>+'NOTAS ERI'!BJ86</f>
        <v>0</v>
      </c>
      <c r="BN32" s="220">
        <f>+'NOTAS ERI'!BK86</f>
        <v>0</v>
      </c>
      <c r="BO32" s="220">
        <f>+'NOTAS ERI'!BL86</f>
        <v>0</v>
      </c>
      <c r="BP32" s="220">
        <f>+'NOTAS ERI'!BM86</f>
        <v>0</v>
      </c>
      <c r="BQ32" s="220">
        <f>+'NOTAS ERI'!BN86</f>
        <v>0</v>
      </c>
      <c r="BR32" s="220">
        <f>+'NOTAS ERI'!BO86</f>
        <v>0</v>
      </c>
      <c r="BS32" s="220">
        <f>+'NOTAS ERI'!BP86</f>
        <v>0</v>
      </c>
      <c r="BT32" s="220">
        <f>+'NOTAS ERI'!BQ86</f>
        <v>0</v>
      </c>
      <c r="BU32" s="220">
        <f>+'NOTAS ERI'!BR86</f>
        <v>0</v>
      </c>
      <c r="BW32" s="220">
        <f>+'NOTAS ERI'!BT86</f>
        <v>0</v>
      </c>
      <c r="BX32" s="220">
        <f>+'NOTAS ERI'!BU86</f>
        <v>0</v>
      </c>
      <c r="BY32" s="220">
        <f>+'NOTAS ERI'!BV86</f>
        <v>0</v>
      </c>
      <c r="BZ32" s="220">
        <f>+'NOTAS ERI'!BW86</f>
        <v>0</v>
      </c>
      <c r="CA32" s="220">
        <f>+'NOTAS ERI'!BX86</f>
        <v>0</v>
      </c>
      <c r="CB32" s="220">
        <f>+'NOTAS ERI'!BY86</f>
        <v>0</v>
      </c>
      <c r="CC32" s="220">
        <f>+'NOTAS ERI'!BZ86</f>
        <v>0</v>
      </c>
      <c r="CD32" s="176"/>
      <c r="CE32" s="169">
        <f>+'NOTAS ERI'!CB86</f>
        <v>0</v>
      </c>
      <c r="CF32" s="169" t="e">
        <f>+'NOTAS ERI'!#REF!</f>
        <v>#REF!</v>
      </c>
      <c r="CG32" s="176"/>
      <c r="CH32" s="169" t="e">
        <f>+'NOTAS ERI'!#REF!</f>
        <v>#REF!</v>
      </c>
    </row>
    <row r="33" spans="2:93" ht="12.75" customHeight="1">
      <c r="B33" s="192" t="s">
        <v>142</v>
      </c>
      <c r="C33" s="219"/>
      <c r="D33" s="176"/>
      <c r="E33" s="210">
        <f t="shared" si="157"/>
        <v>21464990</v>
      </c>
      <c r="F33" s="210">
        <f>+'NOTAS ERI'!C91</f>
        <v>0</v>
      </c>
      <c r="G33" s="210">
        <f>+'NOTAS ERI'!D91</f>
        <v>0</v>
      </c>
      <c r="H33" s="210">
        <f>+'NOTAS ERI'!E91</f>
        <v>0</v>
      </c>
      <c r="I33" s="210">
        <f>+'NOTAS ERI'!F91</f>
        <v>0</v>
      </c>
      <c r="J33" s="210">
        <f>+'NOTAS ERI'!G91</f>
        <v>0</v>
      </c>
      <c r="K33" s="210">
        <f>+'NOTAS ERI'!H91</f>
        <v>0</v>
      </c>
      <c r="L33" s="210">
        <f>+'NOTAS ERI'!I91</f>
        <v>0</v>
      </c>
      <c r="M33" s="210">
        <f>+'NOTAS ERI'!J91</f>
        <v>0</v>
      </c>
      <c r="N33" s="210">
        <f>+'NOTAS ERI'!K91</f>
        <v>0</v>
      </c>
      <c r="O33" s="210">
        <f>+'NOTAS ERI'!L91</f>
        <v>0</v>
      </c>
      <c r="P33" s="210">
        <f>+'NOTAS ERI'!M91</f>
        <v>0</v>
      </c>
      <c r="Q33" s="210">
        <f>+'NOTAS ERI'!N91</f>
        <v>21464990</v>
      </c>
      <c r="R33" s="176"/>
      <c r="S33" s="210">
        <f t="shared" si="158"/>
        <v>19109537</v>
      </c>
      <c r="T33" s="220">
        <f>+'NOTAS ERI'!Q91</f>
        <v>4372739</v>
      </c>
      <c r="U33" s="220">
        <f>+'NOTAS ERI'!R91</f>
        <v>3935643</v>
      </c>
      <c r="V33" s="220">
        <f>+'NOTAS ERI'!S91</f>
        <v>1899134</v>
      </c>
      <c r="W33" s="220">
        <f>+'NOTAS ERI'!T91</f>
        <v>479275</v>
      </c>
      <c r="X33" s="220">
        <f>+'NOTAS ERI'!U91</f>
        <v>454062</v>
      </c>
      <c r="Y33" s="220">
        <f>+'NOTAS ERI'!V91</f>
        <v>1326294</v>
      </c>
      <c r="Z33" s="220">
        <f>+'NOTAS ERI'!W91</f>
        <v>1298437</v>
      </c>
      <c r="AA33" s="220">
        <f>+'NOTAS ERI'!X91</f>
        <v>1017823</v>
      </c>
      <c r="AB33" s="220">
        <f>+'NOTAS ERI'!Y91</f>
        <v>1063697</v>
      </c>
      <c r="AC33" s="220">
        <f>+'NOTAS ERI'!Z91</f>
        <v>876809</v>
      </c>
      <c r="AD33" s="220">
        <f>+'NOTAS ERI'!AA91</f>
        <v>1047389</v>
      </c>
      <c r="AE33" s="220">
        <f>+'NOTAS ERI'!AB91</f>
        <v>1338235</v>
      </c>
      <c r="AF33" s="176"/>
      <c r="AG33" s="220">
        <f t="shared" si="159"/>
        <v>0</v>
      </c>
      <c r="AH33" s="220">
        <f>+'NOTAS ERI'!AE91</f>
        <v>0</v>
      </c>
      <c r="AI33" s="220">
        <f>+'NOTAS ERI'!AF91</f>
        <v>0</v>
      </c>
      <c r="AJ33" s="220">
        <f>+'NOTAS ERI'!AG91</f>
        <v>0</v>
      </c>
      <c r="AK33" s="220">
        <f>+'NOTAS ERI'!AH91</f>
        <v>0</v>
      </c>
      <c r="AL33" s="220">
        <f>+'NOTAS ERI'!AI91</f>
        <v>0</v>
      </c>
      <c r="AM33" s="220">
        <f>+'NOTAS ERI'!AJ91</f>
        <v>0</v>
      </c>
      <c r="AN33" s="220">
        <f>+'NOTAS ERI'!AK91</f>
        <v>0</v>
      </c>
      <c r="AO33" s="220">
        <f>+'NOTAS ERI'!AL91</f>
        <v>0</v>
      </c>
      <c r="AP33" s="220">
        <f>+'NOTAS ERI'!AM91</f>
        <v>0</v>
      </c>
      <c r="AQ33" s="220">
        <f>+'NOTAS ERI'!AN91</f>
        <v>0</v>
      </c>
      <c r="AR33" s="220">
        <f>+'NOTAS ERI'!AO91</f>
        <v>0</v>
      </c>
      <c r="AS33" s="220">
        <f>+'NOTAS ERI'!AP91</f>
        <v>0</v>
      </c>
      <c r="AT33" s="176"/>
      <c r="AU33" s="220">
        <f t="shared" si="160"/>
        <v>9676305.3099999987</v>
      </c>
      <c r="AV33" s="220">
        <f>+'NOTAS ERI'!AS91</f>
        <v>2515911</v>
      </c>
      <c r="AW33" s="220">
        <f>+'NOTAS ERI'!AT91</f>
        <v>1079541.08</v>
      </c>
      <c r="AX33" s="220">
        <f>+'NOTAS ERI'!AU91</f>
        <v>13015</v>
      </c>
      <c r="AY33" s="220">
        <f>+'NOTAS ERI'!AV91</f>
        <v>195210</v>
      </c>
      <c r="AZ33" s="220">
        <f>+'NOTAS ERI'!AW91</f>
        <v>969993.14</v>
      </c>
      <c r="BA33" s="220">
        <f>+'NOTAS ERI'!AX91</f>
        <v>764966</v>
      </c>
      <c r="BB33" s="220">
        <f>+'NOTAS ERI'!AY91</f>
        <v>170000</v>
      </c>
      <c r="BC33" s="220">
        <f>+'NOTAS ERI'!AZ91</f>
        <v>520084</v>
      </c>
      <c r="BD33" s="220">
        <f>+'NOTAS ERI'!BA91</f>
        <v>435394</v>
      </c>
      <c r="BE33" s="220">
        <f>+'NOTAS ERI'!BB91</f>
        <v>995507.09</v>
      </c>
      <c r="BF33" s="220">
        <f>+'NOTAS ERI'!BC91</f>
        <v>217164</v>
      </c>
      <c r="BG33" s="220">
        <f>+'NOTAS ERI'!BD91</f>
        <v>1799520</v>
      </c>
      <c r="BH33" s="169"/>
      <c r="BI33" s="220">
        <f>+'NOTAS ERI'!BF99+'NOTAS ERI'!BF97</f>
        <v>1887269</v>
      </c>
      <c r="BJ33" s="220">
        <f>+'NOTAS ERI'!BG91</f>
        <v>211991</v>
      </c>
      <c r="BK33" s="220">
        <f>+'NOTAS ERI'!BH91</f>
        <v>0</v>
      </c>
      <c r="BL33" s="220">
        <f>+'NOTAS ERI'!BI91</f>
        <v>490000</v>
      </c>
      <c r="BM33" s="220">
        <f>+'NOTAS ERI'!BJ91</f>
        <v>83978</v>
      </c>
      <c r="BN33" s="220">
        <f>+'NOTAS ERI'!BK91</f>
        <v>168044</v>
      </c>
      <c r="BO33" s="220">
        <f>+'NOTAS ERI'!BL91</f>
        <v>142487</v>
      </c>
      <c r="BP33" s="220">
        <f>+'NOTAS ERI'!BM91</f>
        <v>126055</v>
      </c>
      <c r="BQ33" s="220">
        <f>+'NOTAS ERI'!BN91</f>
        <v>183525</v>
      </c>
      <c r="BR33" s="220">
        <f>+'NOTAS ERI'!BO91</f>
        <v>126055</v>
      </c>
      <c r="BS33" s="220">
        <f>+'NOTAS ERI'!BP91</f>
        <v>41989</v>
      </c>
      <c r="BT33" s="220">
        <f>+'NOTAS ERI'!BQ91</f>
        <v>168044</v>
      </c>
      <c r="BU33" s="220">
        <f>+'NOTAS ERI'!BR91</f>
        <v>145101</v>
      </c>
      <c r="BW33" s="220">
        <f>+'NOTAS ERI'!BT91</f>
        <v>0</v>
      </c>
      <c r="BX33" s="220">
        <f>+'NOTAS ERI'!BU91</f>
        <v>0</v>
      </c>
      <c r="BY33" s="220">
        <f>+'NOTAS ERI'!BV91</f>
        <v>0</v>
      </c>
      <c r="BZ33" s="220">
        <f>+'NOTAS ERI'!BW91</f>
        <v>0</v>
      </c>
      <c r="CA33" s="220">
        <f>+'NOTAS ERI'!BX91</f>
        <v>0</v>
      </c>
      <c r="CB33" s="220">
        <f>+'NOTAS ERI'!BY91</f>
        <v>0</v>
      </c>
      <c r="CC33" s="220">
        <f>+'NOTAS ERI'!BZ91</f>
        <v>0</v>
      </c>
      <c r="CD33" s="176"/>
      <c r="CE33" s="220">
        <f>+'NOTAS ERI'!CB91</f>
        <v>0</v>
      </c>
      <c r="CF33" s="220" t="e">
        <f>+'NOTAS ERI'!#REF!</f>
        <v>#REF!</v>
      </c>
      <c r="CG33" s="176"/>
      <c r="CH33" s="220" t="e">
        <f>+'NOTAS ERI'!#REF!</f>
        <v>#REF!</v>
      </c>
    </row>
    <row r="34" spans="2:93" ht="12.75" customHeight="1">
      <c r="B34" s="192" t="s">
        <v>143</v>
      </c>
      <c r="C34" s="219"/>
      <c r="D34" s="176"/>
      <c r="E34" s="210">
        <f t="shared" si="157"/>
        <v>0</v>
      </c>
      <c r="F34" s="210">
        <f>+'NOTAS ERI'!C107</f>
        <v>0</v>
      </c>
      <c r="G34" s="210">
        <f>+'NOTAS ERI'!D107</f>
        <v>0</v>
      </c>
      <c r="H34" s="210">
        <f>+'NOTAS ERI'!E107</f>
        <v>0</v>
      </c>
      <c r="I34" s="210">
        <f>+'NOTAS ERI'!F107</f>
        <v>0</v>
      </c>
      <c r="J34" s="210">
        <f>+'NOTAS ERI'!G107</f>
        <v>0</v>
      </c>
      <c r="K34" s="210">
        <f>+'NOTAS ERI'!H107</f>
        <v>0</v>
      </c>
      <c r="L34" s="210">
        <f>+'NOTAS ERI'!I107</f>
        <v>0</v>
      </c>
      <c r="M34" s="210">
        <f>+'NOTAS ERI'!J107</f>
        <v>0</v>
      </c>
      <c r="N34" s="210">
        <f>+'NOTAS ERI'!K107</f>
        <v>0</v>
      </c>
      <c r="O34" s="210">
        <f>+'NOTAS ERI'!L107</f>
        <v>0</v>
      </c>
      <c r="P34" s="210">
        <f>+'NOTAS ERI'!M107</f>
        <v>0</v>
      </c>
      <c r="Q34" s="210">
        <f>+'NOTAS ERI'!N107</f>
        <v>0</v>
      </c>
      <c r="R34" s="176"/>
      <c r="S34" s="210">
        <f t="shared" si="158"/>
        <v>1037700</v>
      </c>
      <c r="T34" s="220">
        <f>+'NOTAS ERI'!Q107</f>
        <v>0</v>
      </c>
      <c r="U34" s="220">
        <f>+'NOTAS ERI'!R107</f>
        <v>0</v>
      </c>
      <c r="V34" s="220">
        <f>+'NOTAS ERI'!S107</f>
        <v>0</v>
      </c>
      <c r="W34" s="220">
        <f>+'NOTAS ERI'!T107</f>
        <v>325000</v>
      </c>
      <c r="X34" s="220">
        <f>+'NOTAS ERI'!U107</f>
        <v>0</v>
      </c>
      <c r="Y34" s="220">
        <f>+'NOTAS ERI'!V107</f>
        <v>0</v>
      </c>
      <c r="Z34" s="220">
        <f>+'NOTAS ERI'!W107</f>
        <v>80600</v>
      </c>
      <c r="AA34" s="220">
        <f>+'NOTAS ERI'!X107</f>
        <v>632100</v>
      </c>
      <c r="AB34" s="220">
        <f>+'NOTAS ERI'!Y107</f>
        <v>0</v>
      </c>
      <c r="AC34" s="220">
        <f>+'NOTAS ERI'!Z107</f>
        <v>0</v>
      </c>
      <c r="AD34" s="220">
        <f>+'NOTAS ERI'!AA107</f>
        <v>0</v>
      </c>
      <c r="AE34" s="220">
        <f>+'NOTAS ERI'!AB107</f>
        <v>0</v>
      </c>
      <c r="AF34" s="176"/>
      <c r="AG34" s="220">
        <f t="shared" si="159"/>
        <v>818900</v>
      </c>
      <c r="AH34" s="220">
        <f>+'NOTAS ERI'!AE107</f>
        <v>0</v>
      </c>
      <c r="AI34" s="220">
        <f>+'NOTAS ERI'!AF107</f>
        <v>0</v>
      </c>
      <c r="AJ34" s="220">
        <f>+'NOTAS ERI'!AG107</f>
        <v>0</v>
      </c>
      <c r="AK34" s="220">
        <f>+'NOTAS ERI'!AH107</f>
        <v>0</v>
      </c>
      <c r="AL34" s="220">
        <f>+'NOTAS ERI'!AI107</f>
        <v>0</v>
      </c>
      <c r="AM34" s="220">
        <f>+'NOTAS ERI'!AJ107</f>
        <v>0</v>
      </c>
      <c r="AN34" s="220">
        <f>+'NOTAS ERI'!AK107</f>
        <v>0</v>
      </c>
      <c r="AO34" s="220">
        <f>+'NOTAS ERI'!AL107</f>
        <v>65900</v>
      </c>
      <c r="AP34" s="220">
        <f>+'NOTAS ERI'!AM107</f>
        <v>0</v>
      </c>
      <c r="AQ34" s="220">
        <f>+'NOTAS ERI'!AN107</f>
        <v>753000</v>
      </c>
      <c r="AR34" s="220">
        <f>+'NOTAS ERI'!AO107</f>
        <v>0</v>
      </c>
      <c r="AS34" s="220">
        <f>+'NOTAS ERI'!AP107</f>
        <v>0</v>
      </c>
      <c r="AT34" s="176"/>
      <c r="AU34" s="220">
        <f t="shared" si="160"/>
        <v>382938</v>
      </c>
      <c r="AV34" s="220">
        <f>+'NOTAS ERI'!AS107</f>
        <v>0</v>
      </c>
      <c r="AW34" s="220">
        <f>+'NOTAS ERI'!AT107</f>
        <v>0</v>
      </c>
      <c r="AX34" s="220">
        <f>+'NOTAS ERI'!AU107</f>
        <v>0</v>
      </c>
      <c r="AY34" s="220">
        <f>+'NOTAS ERI'!AV107</f>
        <v>0</v>
      </c>
      <c r="AZ34" s="220">
        <f>+'NOTAS ERI'!AW107</f>
        <v>0</v>
      </c>
      <c r="BA34" s="220">
        <f>+'NOTAS ERI'!AX107</f>
        <v>0</v>
      </c>
      <c r="BB34" s="220">
        <f>+'NOTAS ERI'!AY107</f>
        <v>0</v>
      </c>
      <c r="BC34" s="220">
        <f>+'NOTAS ERI'!AZ107</f>
        <v>0</v>
      </c>
      <c r="BD34" s="220">
        <f>+'NOTAS ERI'!BA107</f>
        <v>0</v>
      </c>
      <c r="BE34" s="220">
        <f>+'NOTAS ERI'!BB107</f>
        <v>382938</v>
      </c>
      <c r="BF34" s="220">
        <f>+'NOTAS ERI'!BC107</f>
        <v>0</v>
      </c>
      <c r="BG34" s="220">
        <f>+'NOTAS ERI'!BD107</f>
        <v>0</v>
      </c>
      <c r="BH34" s="169"/>
      <c r="BI34" s="220">
        <f>+'NOTAS ERI'!BF107</f>
        <v>365434</v>
      </c>
      <c r="BJ34" s="220">
        <f>+'NOTAS ERI'!BG107</f>
        <v>0</v>
      </c>
      <c r="BK34" s="220">
        <f>+'NOTAS ERI'!BH107</f>
        <v>0</v>
      </c>
      <c r="BL34" s="220">
        <f>+'NOTAS ERI'!BI107</f>
        <v>226534</v>
      </c>
      <c r="BM34" s="220">
        <f>+'NOTAS ERI'!BJ107</f>
        <v>6500</v>
      </c>
      <c r="BN34" s="220">
        <f>+'NOTAS ERI'!BK107</f>
        <v>0</v>
      </c>
      <c r="BO34" s="220">
        <f>+'NOTAS ERI'!BL107</f>
        <v>6500</v>
      </c>
      <c r="BP34" s="220">
        <f>+'NOTAS ERI'!BM107</f>
        <v>0</v>
      </c>
      <c r="BQ34" s="220">
        <f>+'NOTAS ERI'!BN107</f>
        <v>9700</v>
      </c>
      <c r="BR34" s="220">
        <f>+'NOTAS ERI'!BO107</f>
        <v>0</v>
      </c>
      <c r="BS34" s="220">
        <f>+'NOTAS ERI'!BP107</f>
        <v>158200</v>
      </c>
      <c r="BT34" s="220">
        <f>+'NOTAS ERI'!BQ107</f>
        <v>0</v>
      </c>
      <c r="BU34" s="220">
        <f>+'NOTAS ERI'!BR107</f>
        <v>0</v>
      </c>
      <c r="BW34" s="220">
        <f>+'NOTAS ERI'!BT107</f>
        <v>0</v>
      </c>
      <c r="BX34" s="220">
        <f>+'NOTAS ERI'!BU107</f>
        <v>0</v>
      </c>
      <c r="BY34" s="220">
        <f>+'NOTAS ERI'!BV107</f>
        <v>0</v>
      </c>
      <c r="BZ34" s="220">
        <f>+'NOTAS ERI'!BW107</f>
        <v>0</v>
      </c>
      <c r="CA34" s="220">
        <f>+'NOTAS ERI'!BX107</f>
        <v>0</v>
      </c>
      <c r="CB34" s="220">
        <f>+'NOTAS ERI'!BY107</f>
        <v>0</v>
      </c>
      <c r="CC34" s="220">
        <f>+'NOTAS ERI'!BZ107</f>
        <v>0</v>
      </c>
      <c r="CD34" s="176"/>
      <c r="CE34" s="220">
        <f>+'NOTAS ERI'!CB107</f>
        <v>0</v>
      </c>
      <c r="CF34" s="220" t="e">
        <f>+'NOTAS ERI'!#REF!</f>
        <v>#REF!</v>
      </c>
      <c r="CG34" s="176"/>
      <c r="CH34" s="220" t="e">
        <f>+'NOTAS ERI'!#REF!</f>
        <v>#REF!</v>
      </c>
    </row>
    <row r="35" spans="2:93" ht="12.75" customHeight="1">
      <c r="B35" s="192" t="s">
        <v>144</v>
      </c>
      <c r="C35" s="219"/>
      <c r="D35" s="176"/>
      <c r="E35" s="210">
        <f t="shared" si="157"/>
        <v>0</v>
      </c>
      <c r="F35" s="210">
        <v>0</v>
      </c>
      <c r="G35" s="210">
        <v>0</v>
      </c>
      <c r="H35" s="210">
        <v>0</v>
      </c>
      <c r="I35" s="210">
        <v>0</v>
      </c>
      <c r="J35" s="210">
        <v>0</v>
      </c>
      <c r="K35" s="210">
        <v>0</v>
      </c>
      <c r="L35" s="210">
        <v>0</v>
      </c>
      <c r="M35" s="210">
        <v>0</v>
      </c>
      <c r="N35" s="210">
        <v>0</v>
      </c>
      <c r="O35" s="210">
        <v>0</v>
      </c>
      <c r="P35" s="210">
        <v>0</v>
      </c>
      <c r="Q35" s="210">
        <v>0</v>
      </c>
      <c r="R35" s="176"/>
      <c r="S35" s="210">
        <f t="shared" si="158"/>
        <v>0</v>
      </c>
      <c r="T35" s="220">
        <f>+'NOTAS ERI'!Q114</f>
        <v>0</v>
      </c>
      <c r="U35" s="220">
        <f>+'NOTAS ERI'!R114</f>
        <v>0</v>
      </c>
      <c r="V35" s="220">
        <f>+'NOTAS ERI'!S114</f>
        <v>0</v>
      </c>
      <c r="W35" s="220">
        <f>+'NOTAS ERI'!T114</f>
        <v>0</v>
      </c>
      <c r="X35" s="220">
        <f>+'NOTAS ERI'!U114</f>
        <v>0</v>
      </c>
      <c r="Y35" s="220">
        <f>+'NOTAS ERI'!V114</f>
        <v>0</v>
      </c>
      <c r="Z35" s="220">
        <f>+'NOTAS ERI'!W114</f>
        <v>0</v>
      </c>
      <c r="AA35" s="220">
        <f>+'NOTAS ERI'!X114</f>
        <v>0</v>
      </c>
      <c r="AB35" s="220">
        <f>+'NOTAS ERI'!Y114</f>
        <v>0</v>
      </c>
      <c r="AC35" s="220">
        <f>+'NOTAS ERI'!Z114</f>
        <v>0</v>
      </c>
      <c r="AD35" s="220">
        <f>+'NOTAS ERI'!AA114</f>
        <v>0</v>
      </c>
      <c r="AE35" s="220">
        <f>+'NOTAS ERI'!AB114</f>
        <v>0</v>
      </c>
      <c r="AF35" s="176"/>
      <c r="AG35" s="220">
        <f t="shared" si="159"/>
        <v>0</v>
      </c>
      <c r="AH35" s="220">
        <f>+'NOTAS ERI'!AE114</f>
        <v>0</v>
      </c>
      <c r="AI35" s="220">
        <f>+'NOTAS ERI'!AF114</f>
        <v>0</v>
      </c>
      <c r="AJ35" s="220">
        <f>+'NOTAS ERI'!AG114</f>
        <v>0</v>
      </c>
      <c r="AK35" s="220">
        <f>+'NOTAS ERI'!AH114</f>
        <v>0</v>
      </c>
      <c r="AL35" s="220">
        <f>+'NOTAS ERI'!AI114</f>
        <v>0</v>
      </c>
      <c r="AM35" s="220">
        <f>+'NOTAS ERI'!AJ114</f>
        <v>0</v>
      </c>
      <c r="AN35" s="220">
        <f>+'NOTAS ERI'!AK114</f>
        <v>0</v>
      </c>
      <c r="AO35" s="220">
        <f>+'NOTAS ERI'!AL114</f>
        <v>0</v>
      </c>
      <c r="AP35" s="220">
        <f>+'NOTAS ERI'!AM114</f>
        <v>0</v>
      </c>
      <c r="AQ35" s="220">
        <f>+'NOTAS ERI'!AN114</f>
        <v>0</v>
      </c>
      <c r="AR35" s="220">
        <f>+'NOTAS ERI'!AO114</f>
        <v>0</v>
      </c>
      <c r="AS35" s="220">
        <f>+'NOTAS ERI'!AP114</f>
        <v>0</v>
      </c>
      <c r="AT35" s="176"/>
      <c r="AU35" s="220">
        <f t="shared" si="160"/>
        <v>184941</v>
      </c>
      <c r="AV35" s="220">
        <f>+'NOTAS ERI'!AS114</f>
        <v>0</v>
      </c>
      <c r="AW35" s="220">
        <f>+'NOTAS ERI'!AT114</f>
        <v>0</v>
      </c>
      <c r="AX35" s="220">
        <f>+'NOTAS ERI'!AU114</f>
        <v>0</v>
      </c>
      <c r="AY35" s="220">
        <f>+'NOTAS ERI'!AV114</f>
        <v>0</v>
      </c>
      <c r="AZ35" s="220">
        <f>+'NOTAS ERI'!AW114</f>
        <v>0</v>
      </c>
      <c r="BA35" s="220">
        <f>+'NOTAS ERI'!AX114</f>
        <v>0</v>
      </c>
      <c r="BB35" s="220">
        <f>+'NOTAS ERI'!AY114</f>
        <v>0</v>
      </c>
      <c r="BC35" s="220">
        <f>+'NOTAS ERI'!AZ114</f>
        <v>0</v>
      </c>
      <c r="BD35" s="220">
        <f>+'NOTAS ERI'!BA114</f>
        <v>0</v>
      </c>
      <c r="BE35" s="220">
        <f>+'NOTAS ERI'!BB114</f>
        <v>163933</v>
      </c>
      <c r="BF35" s="220">
        <f>+'NOTAS ERI'!BC114</f>
        <v>21008</v>
      </c>
      <c r="BG35" s="220">
        <f>+'NOTAS ERI'!BD73</f>
        <v>0</v>
      </c>
      <c r="BH35" s="169"/>
      <c r="BI35" s="220">
        <f>SUM(BJ35:BU35)</f>
        <v>0</v>
      </c>
      <c r="BJ35" s="220">
        <f>+'NOTAS ERI'!BG114</f>
        <v>0</v>
      </c>
      <c r="BK35" s="220">
        <f>+'NOTAS ERI'!BH114</f>
        <v>0</v>
      </c>
      <c r="BL35" s="220">
        <f>+'NOTAS ERI'!BI114</f>
        <v>0</v>
      </c>
      <c r="BM35" s="220">
        <f>+'NOTAS ERI'!BJ114</f>
        <v>0</v>
      </c>
      <c r="BN35" s="220">
        <f>+'NOTAS ERI'!BK114</f>
        <v>0</v>
      </c>
      <c r="BO35" s="220">
        <f>+'NOTAS ERI'!BL114</f>
        <v>0</v>
      </c>
      <c r="BP35" s="220">
        <f>+'NOTAS ERI'!BM114</f>
        <v>0</v>
      </c>
      <c r="BQ35" s="220">
        <f>+'NOTAS ERI'!BN114</f>
        <v>0</v>
      </c>
      <c r="BR35" s="220">
        <f>+'NOTAS ERI'!BO114</f>
        <v>0</v>
      </c>
      <c r="BS35" s="220">
        <f>+'NOTAS ERI'!BP114</f>
        <v>0</v>
      </c>
      <c r="BT35" s="220">
        <f>+'NOTAS ERI'!BQ114</f>
        <v>0</v>
      </c>
      <c r="BU35" s="220">
        <f>+'NOTAS ERI'!BR114</f>
        <v>0</v>
      </c>
      <c r="BW35" s="220">
        <f>+'NOTAS ERI'!BT114</f>
        <v>0</v>
      </c>
      <c r="BX35" s="220">
        <f>+'NOTAS ERI'!BU114</f>
        <v>0</v>
      </c>
      <c r="BY35" s="220">
        <f>+'NOTAS ERI'!BV114</f>
        <v>0</v>
      </c>
      <c r="BZ35" s="220">
        <f>+'NOTAS ERI'!BW114</f>
        <v>0</v>
      </c>
      <c r="CA35" s="220">
        <f>+'NOTAS ERI'!BX114</f>
        <v>0</v>
      </c>
      <c r="CB35" s="220">
        <f>+'NOTAS ERI'!BY114</f>
        <v>0</v>
      </c>
      <c r="CC35" s="220">
        <f>+'NOTAS ERI'!BZ114</f>
        <v>0</v>
      </c>
      <c r="CD35" s="176"/>
      <c r="CE35" s="220">
        <f>+'NOTAS ERI'!CB114</f>
        <v>0</v>
      </c>
      <c r="CF35" s="220" t="e">
        <f>+'NOTAS ERI'!#REF!</f>
        <v>#REF!</v>
      </c>
      <c r="CG35" s="176"/>
      <c r="CH35" s="220" t="e">
        <f>+'NOTAS ERI'!#REF!</f>
        <v>#REF!</v>
      </c>
    </row>
    <row r="36" spans="2:93" ht="12.75" customHeight="1">
      <c r="B36" s="192" t="s">
        <v>145</v>
      </c>
      <c r="C36" s="219"/>
      <c r="D36" s="176"/>
      <c r="E36" s="210">
        <f t="shared" si="157"/>
        <v>0</v>
      </c>
      <c r="F36" s="210">
        <v>0</v>
      </c>
      <c r="G36" s="210">
        <v>0</v>
      </c>
      <c r="H36" s="210">
        <v>0</v>
      </c>
      <c r="I36" s="210">
        <v>0</v>
      </c>
      <c r="J36" s="210">
        <v>0</v>
      </c>
      <c r="K36" s="210">
        <v>0</v>
      </c>
      <c r="L36" s="210">
        <v>0</v>
      </c>
      <c r="M36" s="210">
        <v>0</v>
      </c>
      <c r="N36" s="210">
        <v>0</v>
      </c>
      <c r="O36" s="210">
        <v>0</v>
      </c>
      <c r="P36" s="210">
        <v>0</v>
      </c>
      <c r="Q36" s="210">
        <v>0</v>
      </c>
      <c r="R36" s="176"/>
      <c r="S36" s="210">
        <f t="shared" si="158"/>
        <v>0</v>
      </c>
      <c r="T36" s="220">
        <f>+'NOTAS ERI'!Q121</f>
        <v>0</v>
      </c>
      <c r="U36" s="220">
        <f>+'NOTAS ERI'!R121</f>
        <v>0</v>
      </c>
      <c r="V36" s="220">
        <f>+'NOTAS ERI'!S121</f>
        <v>0</v>
      </c>
      <c r="W36" s="220">
        <f>+'NOTAS ERI'!T121</f>
        <v>0</v>
      </c>
      <c r="X36" s="220">
        <f>+'NOTAS ERI'!U121</f>
        <v>0</v>
      </c>
      <c r="Y36" s="220">
        <f>+'NOTAS ERI'!V121</f>
        <v>0</v>
      </c>
      <c r="Z36" s="220">
        <f>+'NOTAS ERI'!W121</f>
        <v>0</v>
      </c>
      <c r="AA36" s="220">
        <f>+'NOTAS ERI'!X121</f>
        <v>0</v>
      </c>
      <c r="AB36" s="220">
        <f>+'NOTAS ERI'!Y121</f>
        <v>0</v>
      </c>
      <c r="AC36" s="220">
        <f>+'NOTAS ERI'!Z121</f>
        <v>0</v>
      </c>
      <c r="AD36" s="220">
        <f>+'NOTAS ERI'!AA121</f>
        <v>0</v>
      </c>
      <c r="AE36" s="220">
        <f>+'NOTAS ERI'!AB121</f>
        <v>0</v>
      </c>
      <c r="AF36" s="176"/>
      <c r="AG36" s="220">
        <f t="shared" si="159"/>
        <v>0</v>
      </c>
      <c r="AH36" s="220">
        <f>+'NOTAS ERI'!AE121</f>
        <v>0</v>
      </c>
      <c r="AI36" s="220">
        <f>+'NOTAS ERI'!AF121</f>
        <v>0</v>
      </c>
      <c r="AJ36" s="220">
        <f>+'NOTAS ERI'!AG121</f>
        <v>0</v>
      </c>
      <c r="AK36" s="220">
        <f>+'NOTAS ERI'!AH121</f>
        <v>0</v>
      </c>
      <c r="AL36" s="220">
        <f>+'NOTAS ERI'!AI121</f>
        <v>0</v>
      </c>
      <c r="AM36" s="220">
        <f>+'NOTAS ERI'!AJ121</f>
        <v>0</v>
      </c>
      <c r="AN36" s="220">
        <f>+'NOTAS ERI'!AK121</f>
        <v>0</v>
      </c>
      <c r="AO36" s="220">
        <f>+'NOTAS ERI'!AL121</f>
        <v>0</v>
      </c>
      <c r="AP36" s="220">
        <f>+'NOTAS ERI'!AM121</f>
        <v>0</v>
      </c>
      <c r="AQ36" s="220">
        <f>+'NOTAS ERI'!AN121</f>
        <v>0</v>
      </c>
      <c r="AR36" s="220">
        <f>+'NOTAS ERI'!AO121</f>
        <v>0</v>
      </c>
      <c r="AS36" s="220">
        <f>+'NOTAS ERI'!AP121</f>
        <v>0</v>
      </c>
      <c r="AT36" s="176"/>
      <c r="AU36" s="220">
        <f t="shared" si="160"/>
        <v>0</v>
      </c>
      <c r="AV36" s="220">
        <f>+'NOTAS ERI'!AS121</f>
        <v>0</v>
      </c>
      <c r="AW36" s="220">
        <f>+'NOTAS ERI'!AT121</f>
        <v>0</v>
      </c>
      <c r="AX36" s="220">
        <f>+'NOTAS ERI'!AU121</f>
        <v>0</v>
      </c>
      <c r="AY36" s="220">
        <f>+'NOTAS ERI'!AV121</f>
        <v>0</v>
      </c>
      <c r="AZ36" s="220">
        <f>+'NOTAS ERI'!AW121</f>
        <v>0</v>
      </c>
      <c r="BA36" s="220">
        <f>+'NOTAS ERI'!AX121</f>
        <v>0</v>
      </c>
      <c r="BB36" s="220">
        <f>+'NOTAS ERI'!AY121</f>
        <v>0</v>
      </c>
      <c r="BC36" s="220">
        <f>+'NOTAS ERI'!AZ121</f>
        <v>0</v>
      </c>
      <c r="BD36" s="220">
        <f>+'NOTAS ERI'!BA121</f>
        <v>0</v>
      </c>
      <c r="BE36" s="220">
        <f>+'NOTAS ERI'!BB121</f>
        <v>0</v>
      </c>
      <c r="BF36" s="220">
        <f>+'NOTAS ERI'!BC121</f>
        <v>0</v>
      </c>
      <c r="BG36" s="220">
        <f>+'NOTAS ERI'!BD121</f>
        <v>0</v>
      </c>
      <c r="BH36" s="169"/>
      <c r="BI36" s="220">
        <f>+'NOTAS ERI'!BF109</f>
        <v>0</v>
      </c>
      <c r="BJ36" s="220">
        <f>+'NOTAS ERI'!BG121</f>
        <v>0</v>
      </c>
      <c r="BK36" s="220">
        <f>+'NOTAS ERI'!BH121</f>
        <v>0</v>
      </c>
      <c r="BL36" s="220">
        <f>+'NOTAS ERI'!BI121</f>
        <v>0</v>
      </c>
      <c r="BM36" s="220">
        <f>+'NOTAS ERI'!BJ121</f>
        <v>0</v>
      </c>
      <c r="BN36" s="220">
        <f>+'NOTAS ERI'!BK121</f>
        <v>0</v>
      </c>
      <c r="BO36" s="220">
        <f>+'NOTAS ERI'!BL121</f>
        <v>0</v>
      </c>
      <c r="BP36" s="220">
        <f>+'NOTAS ERI'!BM121</f>
        <v>0</v>
      </c>
      <c r="BQ36" s="220">
        <f>+'NOTAS ERI'!BN121</f>
        <v>0</v>
      </c>
      <c r="BR36" s="220">
        <f>+'NOTAS ERI'!BO121</f>
        <v>0</v>
      </c>
      <c r="BS36" s="220">
        <f>+'NOTAS ERI'!BP121</f>
        <v>0</v>
      </c>
      <c r="BT36" s="220">
        <f>+'NOTAS ERI'!BQ121</f>
        <v>0</v>
      </c>
      <c r="BU36" s="220">
        <f>+'NOTAS ERI'!BR121</f>
        <v>0</v>
      </c>
      <c r="BW36" s="220">
        <f>+'NOTAS ERI'!BT121</f>
        <v>0</v>
      </c>
      <c r="BX36" s="220" t="e">
        <f>+'NOTAS ERI'!#REF!</f>
        <v>#REF!</v>
      </c>
      <c r="BY36" s="220" t="e">
        <f>+'NOTAS ERI'!#REF!</f>
        <v>#REF!</v>
      </c>
      <c r="BZ36" s="220" t="e">
        <f>+'NOTAS ERI'!#REF!</f>
        <v>#REF!</v>
      </c>
      <c r="CA36" s="220" t="e">
        <f>+'NOTAS ERI'!#REF!</f>
        <v>#REF!</v>
      </c>
      <c r="CB36" s="220" t="e">
        <f>+'NOTAS ERI'!#REF!</f>
        <v>#REF!</v>
      </c>
      <c r="CC36" s="220" t="e">
        <f>+'NOTAS ERI'!#REF!</f>
        <v>#REF!</v>
      </c>
      <c r="CD36" s="176"/>
      <c r="CE36" s="169">
        <f>+'NOTAS ERI'!CB121</f>
        <v>0</v>
      </c>
      <c r="CF36" s="220" t="e">
        <f>+'NOTAS ERI'!#REF!</f>
        <v>#REF!</v>
      </c>
      <c r="CG36" s="176"/>
      <c r="CH36" s="220" t="e">
        <f>+'NOTAS ERI'!#REF!</f>
        <v>#REF!</v>
      </c>
    </row>
    <row r="37" spans="2:93" ht="12.75" customHeight="1">
      <c r="B37" s="192" t="s">
        <v>146</v>
      </c>
      <c r="C37" s="219"/>
      <c r="D37" s="176"/>
      <c r="E37" s="210">
        <f t="shared" si="157"/>
        <v>0</v>
      </c>
      <c r="F37" s="210">
        <v>0</v>
      </c>
      <c r="G37" s="210">
        <v>0</v>
      </c>
      <c r="H37" s="210">
        <v>0</v>
      </c>
      <c r="I37" s="210">
        <v>0</v>
      </c>
      <c r="J37" s="210">
        <v>0</v>
      </c>
      <c r="K37" s="210">
        <v>0</v>
      </c>
      <c r="L37" s="210">
        <v>0</v>
      </c>
      <c r="M37" s="210">
        <v>0</v>
      </c>
      <c r="N37" s="210">
        <v>0</v>
      </c>
      <c r="O37" s="210">
        <v>0</v>
      </c>
      <c r="P37" s="210">
        <v>0</v>
      </c>
      <c r="Q37" s="210">
        <v>0</v>
      </c>
      <c r="R37" s="176"/>
      <c r="S37" s="210">
        <f t="shared" si="158"/>
        <v>0</v>
      </c>
      <c r="T37" s="220">
        <f>+'NOTAS ERI'!Q129</f>
        <v>0</v>
      </c>
      <c r="U37" s="220">
        <f>+'NOTAS ERI'!R129</f>
        <v>0</v>
      </c>
      <c r="V37" s="220">
        <f>+'NOTAS ERI'!S129</f>
        <v>0</v>
      </c>
      <c r="W37" s="220">
        <f>+'NOTAS ERI'!T129</f>
        <v>0</v>
      </c>
      <c r="X37" s="220">
        <f>+'NOTAS ERI'!U129</f>
        <v>0</v>
      </c>
      <c r="Y37" s="220">
        <f>+'NOTAS ERI'!V129</f>
        <v>0</v>
      </c>
      <c r="Z37" s="220">
        <f>+'NOTAS ERI'!W129</f>
        <v>0</v>
      </c>
      <c r="AA37" s="220">
        <f>+'NOTAS ERI'!X129</f>
        <v>0</v>
      </c>
      <c r="AB37" s="220">
        <f>+'NOTAS ERI'!Y129</f>
        <v>0</v>
      </c>
      <c r="AC37" s="220">
        <f>+'NOTAS ERI'!Z129</f>
        <v>0</v>
      </c>
      <c r="AD37" s="220">
        <f>+'NOTAS ERI'!AA129</f>
        <v>0</v>
      </c>
      <c r="AE37" s="220">
        <f>+'NOTAS ERI'!AB129</f>
        <v>0</v>
      </c>
      <c r="AF37" s="176"/>
      <c r="AG37" s="220">
        <f t="shared" si="159"/>
        <v>0</v>
      </c>
      <c r="AH37" s="220">
        <f>+'NOTAS ERI'!AE129</f>
        <v>0</v>
      </c>
      <c r="AI37" s="220">
        <f>+'NOTAS ERI'!AF129</f>
        <v>0</v>
      </c>
      <c r="AJ37" s="220">
        <f>+'NOTAS ERI'!AG129</f>
        <v>0</v>
      </c>
      <c r="AK37" s="220">
        <f>+'NOTAS ERI'!AH129</f>
        <v>0</v>
      </c>
      <c r="AL37" s="220">
        <f>+'NOTAS ERI'!AI129</f>
        <v>0</v>
      </c>
      <c r="AM37" s="220">
        <f>+'NOTAS ERI'!AJ129</f>
        <v>0</v>
      </c>
      <c r="AN37" s="220">
        <f>+'NOTAS ERI'!AK129</f>
        <v>0</v>
      </c>
      <c r="AO37" s="220">
        <f>+'NOTAS ERI'!AL129</f>
        <v>0</v>
      </c>
      <c r="AP37" s="220">
        <f>+'NOTAS ERI'!AM129</f>
        <v>0</v>
      </c>
      <c r="AQ37" s="220">
        <f>+'NOTAS ERI'!AN129</f>
        <v>0</v>
      </c>
      <c r="AR37" s="220">
        <f>+'NOTAS ERI'!AO129</f>
        <v>0</v>
      </c>
      <c r="AS37" s="220">
        <f>+'NOTAS ERI'!AP129</f>
        <v>0</v>
      </c>
      <c r="AT37" s="176"/>
      <c r="AU37" s="220">
        <f t="shared" si="160"/>
        <v>0</v>
      </c>
      <c r="AV37" s="220">
        <v>0</v>
      </c>
      <c r="AW37" s="220">
        <v>0</v>
      </c>
      <c r="AX37" s="220">
        <v>0</v>
      </c>
      <c r="AY37" s="220">
        <v>0</v>
      </c>
      <c r="AZ37" s="220">
        <v>0</v>
      </c>
      <c r="BA37" s="220">
        <v>0</v>
      </c>
      <c r="BB37" s="220">
        <v>0</v>
      </c>
      <c r="BC37" s="220">
        <v>0</v>
      </c>
      <c r="BD37" s="220">
        <v>0</v>
      </c>
      <c r="BE37" s="220">
        <v>0</v>
      </c>
      <c r="BF37" s="220">
        <v>0</v>
      </c>
      <c r="BG37" s="220">
        <f>+'NOTAS ERI'!BD75</f>
        <v>0</v>
      </c>
      <c r="BH37" s="169"/>
      <c r="BI37" s="220">
        <f>+'NOTAS ERI'!BF110</f>
        <v>0</v>
      </c>
      <c r="BJ37" s="220">
        <f>+'NOTAS ERI'!BG129</f>
        <v>0</v>
      </c>
      <c r="BK37" s="220">
        <f>+'NOTAS ERI'!BH129</f>
        <v>0</v>
      </c>
      <c r="BL37" s="220">
        <f>+'NOTAS ERI'!BI129</f>
        <v>0</v>
      </c>
      <c r="BM37" s="220">
        <f>+'NOTAS ERI'!BJ129</f>
        <v>0</v>
      </c>
      <c r="BN37" s="220">
        <f>+'NOTAS ERI'!BK129</f>
        <v>0</v>
      </c>
      <c r="BO37" s="220">
        <f>+'NOTAS ERI'!BL129</f>
        <v>0</v>
      </c>
      <c r="BP37" s="220">
        <f>+'NOTAS ERI'!BM129</f>
        <v>0</v>
      </c>
      <c r="BQ37" s="220">
        <f>+'NOTAS ERI'!BN129</f>
        <v>0</v>
      </c>
      <c r="BR37" s="220">
        <f>+'NOTAS ERI'!BO129</f>
        <v>0</v>
      </c>
      <c r="BS37" s="220">
        <f>+'NOTAS ERI'!BP129</f>
        <v>0</v>
      </c>
      <c r="BT37" s="220">
        <f>+'NOTAS ERI'!BQ129</f>
        <v>0</v>
      </c>
      <c r="BU37" s="220">
        <f>+'NOTAS ERI'!BR129</f>
        <v>0</v>
      </c>
      <c r="BW37" s="220">
        <f>+'NOTAS ERI'!BT129</f>
        <v>0</v>
      </c>
      <c r="BX37" s="220" t="e">
        <f>+'NOTAS ERI'!#REF!</f>
        <v>#REF!</v>
      </c>
      <c r="BY37" s="220" t="e">
        <f>+'NOTAS ERI'!#REF!</f>
        <v>#REF!</v>
      </c>
      <c r="BZ37" s="220" t="e">
        <f>+'NOTAS ERI'!#REF!</f>
        <v>#REF!</v>
      </c>
      <c r="CA37" s="220" t="e">
        <f>+'NOTAS ERI'!#REF!</f>
        <v>#REF!</v>
      </c>
      <c r="CB37" s="220" t="e">
        <f>+'NOTAS ERI'!#REF!</f>
        <v>#REF!</v>
      </c>
      <c r="CC37" s="220" t="e">
        <f>+'NOTAS ERI'!#REF!</f>
        <v>#REF!</v>
      </c>
      <c r="CD37" s="176"/>
      <c r="CE37" s="220" t="e">
        <f>+'NOTAS ERI'!#REF!</f>
        <v>#REF!</v>
      </c>
      <c r="CF37" s="220" t="e">
        <f>+'NOTAS ERI'!#REF!</f>
        <v>#REF!</v>
      </c>
      <c r="CG37" s="176"/>
      <c r="CH37" s="220" t="e">
        <f>+'NOTAS ERI'!#REF!</f>
        <v>#REF!</v>
      </c>
    </row>
    <row r="38" spans="2:93" ht="12.75" customHeight="1">
      <c r="B38" s="192" t="s">
        <v>147</v>
      </c>
      <c r="C38" s="219"/>
      <c r="D38" s="176"/>
      <c r="E38" s="210">
        <f t="shared" si="157"/>
        <v>657836</v>
      </c>
      <c r="F38" s="210">
        <f>+'NOTAS ERI'!C134</f>
        <v>0</v>
      </c>
      <c r="G38" s="210">
        <f>+'NOTAS ERI'!D134</f>
        <v>0</v>
      </c>
      <c r="H38" s="210">
        <f>+'NOTAS ERI'!E134</f>
        <v>0</v>
      </c>
      <c r="I38" s="210">
        <f>+'NOTAS ERI'!F134</f>
        <v>0</v>
      </c>
      <c r="J38" s="210">
        <f>+'NOTAS ERI'!G134</f>
        <v>0</v>
      </c>
      <c r="K38" s="210">
        <f>+'NOTAS ERI'!H134</f>
        <v>0</v>
      </c>
      <c r="L38" s="210">
        <f>+'NOTAS ERI'!I134</f>
        <v>0</v>
      </c>
      <c r="M38" s="210">
        <f>+'NOTAS ERI'!J134</f>
        <v>0</v>
      </c>
      <c r="N38" s="210">
        <f>+'NOTAS ERI'!K134</f>
        <v>0</v>
      </c>
      <c r="O38" s="210">
        <f>+'NOTAS ERI'!L134</f>
        <v>0</v>
      </c>
      <c r="P38" s="210">
        <f>+'NOTAS ERI'!M134</f>
        <v>0</v>
      </c>
      <c r="Q38" s="210">
        <f>+'NOTAS ERI'!N134</f>
        <v>657836</v>
      </c>
      <c r="R38" s="176"/>
      <c r="S38" s="210">
        <f t="shared" si="158"/>
        <v>859285</v>
      </c>
      <c r="T38" s="220">
        <f>+'NOTAS ERI'!Q134</f>
        <v>338748</v>
      </c>
      <c r="U38" s="220">
        <f>+'NOTAS ERI'!R134</f>
        <v>25378</v>
      </c>
      <c r="V38" s="220">
        <f>+'NOTAS ERI'!S134</f>
        <v>71890</v>
      </c>
      <c r="W38" s="220">
        <f>+'NOTAS ERI'!T134</f>
        <v>0</v>
      </c>
      <c r="X38" s="220">
        <f>+'NOTAS ERI'!U134</f>
        <v>21008</v>
      </c>
      <c r="Y38" s="220">
        <f>+'NOTAS ERI'!V134</f>
        <v>0</v>
      </c>
      <c r="Z38" s="220">
        <f>+'NOTAS ERI'!W134</f>
        <v>20168</v>
      </c>
      <c r="AA38" s="220">
        <f>+'NOTAS ERI'!X134</f>
        <v>33521</v>
      </c>
      <c r="AB38" s="220">
        <f>+'NOTAS ERI'!Y134</f>
        <v>0</v>
      </c>
      <c r="AC38" s="220">
        <f>+'NOTAS ERI'!Z134</f>
        <v>331849</v>
      </c>
      <c r="AD38" s="220">
        <f>+'NOTAS ERI'!AA134</f>
        <v>0</v>
      </c>
      <c r="AE38" s="220">
        <f>+'NOTAS ERI'!AB134</f>
        <v>16723</v>
      </c>
      <c r="AF38" s="176"/>
      <c r="AG38" s="220">
        <f t="shared" si="159"/>
        <v>249963.82</v>
      </c>
      <c r="AH38" s="220">
        <f>+'NOTAS ERI'!AE134</f>
        <v>0</v>
      </c>
      <c r="AI38" s="220">
        <f>+'NOTAS ERI'!AF134</f>
        <v>45778</v>
      </c>
      <c r="AJ38" s="220">
        <f>+'NOTAS ERI'!AG134</f>
        <v>0</v>
      </c>
      <c r="AK38" s="220">
        <f>+'NOTAS ERI'!AH134</f>
        <v>0</v>
      </c>
      <c r="AL38" s="220">
        <f>+'NOTAS ERI'!AI134</f>
        <v>0</v>
      </c>
      <c r="AM38" s="220">
        <f>+'NOTAS ERI'!AJ134</f>
        <v>93420.160000000003</v>
      </c>
      <c r="AN38" s="220">
        <f>+'NOTAS ERI'!AK134</f>
        <v>16000</v>
      </c>
      <c r="AO38" s="220">
        <f>+'NOTAS ERI'!AL134</f>
        <v>10397.660000000003</v>
      </c>
      <c r="AP38" s="220">
        <f>+'NOTAS ERI'!AM134</f>
        <v>0</v>
      </c>
      <c r="AQ38" s="220">
        <f>+'NOTAS ERI'!AN134</f>
        <v>0</v>
      </c>
      <c r="AR38" s="220">
        <f>+'NOTAS ERI'!AO134</f>
        <v>56052</v>
      </c>
      <c r="AS38" s="220">
        <f>+'NOTAS ERI'!AP134</f>
        <v>28316</v>
      </c>
      <c r="AT38" s="176"/>
      <c r="AU38" s="220">
        <f t="shared" si="160"/>
        <v>717572</v>
      </c>
      <c r="AV38" s="220">
        <f>+'NOTAS ERI'!AS134</f>
        <v>0</v>
      </c>
      <c r="AW38" s="220">
        <f>+'NOTAS ERI'!AT134</f>
        <v>22520</v>
      </c>
      <c r="AX38" s="220">
        <f>+'NOTAS ERI'!AU134</f>
        <v>67450</v>
      </c>
      <c r="AY38" s="220">
        <f>+'NOTAS ERI'!AV134</f>
        <v>231000</v>
      </c>
      <c r="AZ38" s="220">
        <f>+'NOTAS ERI'!AW134</f>
        <v>63308</v>
      </c>
      <c r="BA38" s="220">
        <f>+'NOTAS ERI'!AX134</f>
        <v>0</v>
      </c>
      <c r="BB38" s="220">
        <f>+'NOTAS ERI'!AY134</f>
        <v>31000</v>
      </c>
      <c r="BC38" s="220">
        <f>+'NOTAS ERI'!AZ134</f>
        <v>0</v>
      </c>
      <c r="BD38" s="220">
        <f>+'NOTAS ERI'!BA134</f>
        <v>0</v>
      </c>
      <c r="BE38" s="220">
        <f>+'NOTAS ERI'!BB134</f>
        <v>163000</v>
      </c>
      <c r="BF38" s="220">
        <f>+'NOTAS ERI'!BC134</f>
        <v>139294</v>
      </c>
      <c r="BG38" s="220">
        <f>+'NOTAS ERI'!BD134</f>
        <v>0</v>
      </c>
      <c r="BH38" s="169"/>
      <c r="BI38" s="220">
        <f>+'NOTAS ERI'!BF137+'NOTAS ERI'!BF138</f>
        <v>457239</v>
      </c>
      <c r="BJ38" s="220" t="e">
        <f>SUM(#REF!)</f>
        <v>#REF!</v>
      </c>
      <c r="BK38" s="220" t="e">
        <f>SUM(#REF!)</f>
        <v>#REF!</v>
      </c>
      <c r="BL38" s="220" t="e">
        <f>SUM(#REF!)</f>
        <v>#REF!</v>
      </c>
      <c r="BM38" s="220" t="e">
        <f>SUM(#REF!)</f>
        <v>#REF!</v>
      </c>
      <c r="BN38" s="220" t="e">
        <f>SUM(#REF!)</f>
        <v>#REF!</v>
      </c>
      <c r="BO38" s="220" t="e">
        <f>SUM(#REF!)</f>
        <v>#REF!</v>
      </c>
      <c r="BP38" s="220" t="e">
        <f>SUM(#REF!)</f>
        <v>#REF!</v>
      </c>
      <c r="BQ38" s="220" t="e">
        <f>SUM(#REF!)</f>
        <v>#REF!</v>
      </c>
      <c r="BR38" s="220" t="e">
        <f>SUM(#REF!)</f>
        <v>#REF!</v>
      </c>
      <c r="BS38" s="220" t="e">
        <f>SUM(#REF!)</f>
        <v>#REF!</v>
      </c>
      <c r="BT38" s="220" t="e">
        <f>SUM(#REF!)</f>
        <v>#REF!</v>
      </c>
      <c r="BU38" s="220" t="e">
        <f>SUM(#REF!)</f>
        <v>#REF!</v>
      </c>
      <c r="BW38" s="220" t="e">
        <f>SUM(#REF!)</f>
        <v>#REF!</v>
      </c>
      <c r="BX38" s="220" t="e">
        <f>SUM(#REF!)</f>
        <v>#REF!</v>
      </c>
      <c r="BY38" s="220" t="e">
        <f>SUM(#REF!)</f>
        <v>#REF!</v>
      </c>
      <c r="BZ38" s="220" t="e">
        <f>SUM(#REF!)</f>
        <v>#REF!</v>
      </c>
      <c r="CA38" s="220" t="e">
        <f>SUM(#REF!)</f>
        <v>#REF!</v>
      </c>
      <c r="CB38" s="220" t="e">
        <f>SUM(#REF!)</f>
        <v>#REF!</v>
      </c>
      <c r="CC38" s="220" t="e">
        <f>SUM(#REF!)</f>
        <v>#REF!</v>
      </c>
      <c r="CD38" s="176"/>
      <c r="CE38" s="220" t="e">
        <f>SUM(#REF!)</f>
        <v>#REF!</v>
      </c>
      <c r="CF38" s="220" t="e">
        <f>+'NOTAS ERI'!#REF!</f>
        <v>#REF!</v>
      </c>
      <c r="CG38" s="176"/>
      <c r="CH38" s="220" t="e">
        <f>+'NOTAS ERI'!#REF!</f>
        <v>#REF!</v>
      </c>
    </row>
    <row r="39" spans="2:93">
      <c r="B39" s="192"/>
      <c r="D39" s="207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07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07"/>
      <c r="AG39" s="220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7"/>
      <c r="AU39" s="209"/>
      <c r="AV39" s="209"/>
      <c r="AW39" s="209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7"/>
      <c r="BI39" s="209"/>
      <c r="BJ39" s="209"/>
      <c r="BK39" s="209"/>
      <c r="BL39" s="209"/>
      <c r="BM39" s="209"/>
      <c r="BN39" s="209"/>
      <c r="BO39" s="209"/>
      <c r="BP39" s="209"/>
      <c r="BQ39" s="209"/>
      <c r="BR39" s="209"/>
      <c r="BS39" s="209"/>
      <c r="BT39" s="209"/>
      <c r="BU39" s="209"/>
      <c r="BW39" s="209"/>
      <c r="BX39" s="209"/>
      <c r="BY39" s="209"/>
      <c r="BZ39" s="209"/>
      <c r="CA39" s="209"/>
      <c r="CB39" s="209"/>
      <c r="CC39" s="209"/>
      <c r="CD39" s="207"/>
      <c r="CE39" s="209"/>
      <c r="CF39" s="209"/>
      <c r="CG39" s="207"/>
      <c r="CH39" s="209"/>
    </row>
    <row r="40" spans="2:93" ht="15">
      <c r="B40" s="218" t="s">
        <v>149</v>
      </c>
      <c r="C40" s="208">
        <v>14</v>
      </c>
      <c r="E40" s="201">
        <f t="shared" ref="E40:Q40" si="161">SUM(E42:E43)</f>
        <v>444898</v>
      </c>
      <c r="F40" s="201">
        <f t="shared" ref="F40:G40" si="162">SUM(F42:F43)</f>
        <v>0</v>
      </c>
      <c r="G40" s="201">
        <f t="shared" si="162"/>
        <v>0</v>
      </c>
      <c r="H40" s="201">
        <f t="shared" si="161"/>
        <v>0</v>
      </c>
      <c r="I40" s="201">
        <f t="shared" ref="I40:J40" si="163">SUM(I42:I43)</f>
        <v>0</v>
      </c>
      <c r="J40" s="201">
        <f t="shared" si="163"/>
        <v>0</v>
      </c>
      <c r="K40" s="201">
        <f t="shared" si="161"/>
        <v>0</v>
      </c>
      <c r="L40" s="201">
        <f t="shared" ref="L40:M40" si="164">SUM(L42:L43)</f>
        <v>0</v>
      </c>
      <c r="M40" s="201">
        <f t="shared" si="164"/>
        <v>0</v>
      </c>
      <c r="N40" s="201">
        <f t="shared" si="161"/>
        <v>0</v>
      </c>
      <c r="O40" s="201">
        <f t="shared" ref="O40:P40" si="165">SUM(O42:O43)</f>
        <v>0</v>
      </c>
      <c r="P40" s="201">
        <f t="shared" si="165"/>
        <v>0</v>
      </c>
      <c r="Q40" s="201">
        <f t="shared" si="161"/>
        <v>444898</v>
      </c>
      <c r="S40" s="201">
        <f t="shared" ref="S40:AE40" si="166">SUM(S42:S43)</f>
        <v>13660656.84</v>
      </c>
      <c r="T40" s="201">
        <f t="shared" ref="T40" si="167">SUM(T42:T43)</f>
        <v>546725</v>
      </c>
      <c r="U40" s="201">
        <f t="shared" ref="U40:V40" si="168">SUM(U42:U43)</f>
        <v>314748</v>
      </c>
      <c r="V40" s="201">
        <f t="shared" si="168"/>
        <v>557832</v>
      </c>
      <c r="W40" s="201">
        <f t="shared" ref="W40:X40" si="169">SUM(W42:W43)</f>
        <v>392107</v>
      </c>
      <c r="X40" s="201">
        <f t="shared" si="169"/>
        <v>340805.32999999996</v>
      </c>
      <c r="Y40" s="201">
        <f t="shared" ref="Y40:Z40" si="170">SUM(Y42:Y43)</f>
        <v>369904</v>
      </c>
      <c r="Z40" s="201">
        <f t="shared" si="170"/>
        <v>432887</v>
      </c>
      <c r="AA40" s="201">
        <f t="shared" si="166"/>
        <v>396592</v>
      </c>
      <c r="AB40" s="201">
        <f t="shared" si="166"/>
        <v>350945</v>
      </c>
      <c r="AC40" s="201">
        <f t="shared" si="166"/>
        <v>402359.51</v>
      </c>
      <c r="AD40" s="201">
        <f t="shared" si="166"/>
        <v>9364720</v>
      </c>
      <c r="AE40" s="201">
        <f t="shared" si="166"/>
        <v>191032</v>
      </c>
      <c r="AG40" s="201">
        <f>SUM(AG42:AG43)</f>
        <v>3254129</v>
      </c>
      <c r="AH40" s="201">
        <f>SUM(AH41:AH43)</f>
        <v>197086</v>
      </c>
      <c r="AI40" s="201">
        <f>SUM(AI41:AI43)</f>
        <v>215731</v>
      </c>
      <c r="AJ40" s="201">
        <f>SUM(AJ41:AJ43)</f>
        <v>237239</v>
      </c>
      <c r="AK40" s="201">
        <f>SUM(AK41:AK43)</f>
        <v>181455</v>
      </c>
      <c r="AL40" s="201">
        <f t="shared" ref="AL40" si="171">SUM(AL41:AL43)</f>
        <v>203991</v>
      </c>
      <c r="AM40" s="201">
        <f t="shared" ref="AM40:AN40" si="172">SUM(AM41:AM43)</f>
        <v>185273</v>
      </c>
      <c r="AN40" s="201">
        <f t="shared" si="172"/>
        <v>1107971</v>
      </c>
      <c r="AO40" s="201">
        <f t="shared" ref="AO40" si="173">SUM(AO41:AO43)</f>
        <v>151796</v>
      </c>
      <c r="AP40" s="201">
        <f t="shared" ref="AP40" si="174">SUM(AP41:AP43)</f>
        <v>235286</v>
      </c>
      <c r="AQ40" s="201">
        <f t="shared" ref="AQ40" si="175">SUM(AQ41:AQ43)</f>
        <v>190012</v>
      </c>
      <c r="AR40" s="201">
        <f t="shared" ref="AR40" si="176">SUM(AR41:AR43)</f>
        <v>179354</v>
      </c>
      <c r="AS40" s="201">
        <f t="shared" ref="AS40" si="177">SUM(AS41:AS43)</f>
        <v>168935</v>
      </c>
      <c r="AU40" s="201">
        <f>SUM(AU42:AU43)</f>
        <v>3448789.05</v>
      </c>
      <c r="AV40" s="201">
        <f t="shared" ref="AV40:AW40" si="178">SUM(AV41:AV43)</f>
        <v>184127</v>
      </c>
      <c r="AW40" s="201">
        <f t="shared" si="178"/>
        <v>194843</v>
      </c>
      <c r="AX40" s="201">
        <f t="shared" ref="AX40:AY40" si="179">SUM(AX41:AX43)</f>
        <v>136858</v>
      </c>
      <c r="AY40" s="201">
        <f t="shared" si="179"/>
        <v>155028</v>
      </c>
      <c r="AZ40" s="201">
        <f t="shared" ref="AZ40:BA40" si="180">SUM(AZ41:AZ43)</f>
        <v>136830</v>
      </c>
      <c r="BA40" s="201">
        <f t="shared" si="180"/>
        <v>342290</v>
      </c>
      <c r="BB40" s="201">
        <f t="shared" ref="BB40:BC40" si="181">SUM(BB41:BB43)</f>
        <v>145949</v>
      </c>
      <c r="BC40" s="201">
        <f t="shared" si="181"/>
        <v>135282</v>
      </c>
      <c r="BD40" s="201">
        <f t="shared" ref="BD40:BE40" si="182">SUM(BD41:BD43)</f>
        <v>1170871.27</v>
      </c>
      <c r="BE40" s="201">
        <f t="shared" si="182"/>
        <v>198914</v>
      </c>
      <c r="BF40" s="201">
        <f t="shared" ref="BF40:BG40" si="183">SUM(BF41:BF43)</f>
        <v>502060.78</v>
      </c>
      <c r="BG40" s="201">
        <f t="shared" si="183"/>
        <v>145736</v>
      </c>
      <c r="BH40" s="195"/>
      <c r="BI40" s="201">
        <f>SUM(BI42:BI43)</f>
        <v>0</v>
      </c>
      <c r="BJ40" s="201">
        <f t="shared" ref="BJ40:BK40" si="184">SUM(BJ41:BJ43)</f>
        <v>0</v>
      </c>
      <c r="BK40" s="201">
        <f t="shared" si="184"/>
        <v>0</v>
      </c>
      <c r="BL40" s="201">
        <f t="shared" ref="BL40" si="185">SUM(BL41:BL43)</f>
        <v>0</v>
      </c>
      <c r="BM40" s="201">
        <f t="shared" ref="BM40:BN40" si="186">SUM(BM41:BM43)</f>
        <v>533.59</v>
      </c>
      <c r="BN40" s="201">
        <f t="shared" si="186"/>
        <v>0</v>
      </c>
      <c r="BO40" s="201">
        <f t="shared" ref="BO40:BP40" si="187">SUM(BO41:BO43)</f>
        <v>0</v>
      </c>
      <c r="BP40" s="201">
        <f t="shared" si="187"/>
        <v>0</v>
      </c>
      <c r="BQ40" s="201">
        <f t="shared" ref="BQ40:BR40" si="188">SUM(BQ41:BQ43)</f>
        <v>0</v>
      </c>
      <c r="BR40" s="201">
        <f t="shared" si="188"/>
        <v>0</v>
      </c>
      <c r="BS40" s="201">
        <f t="shared" ref="BS40:BT40" si="189">SUM(BS41:BS43)</f>
        <v>0</v>
      </c>
      <c r="BT40" s="201">
        <f t="shared" si="189"/>
        <v>0</v>
      </c>
      <c r="BU40" s="201">
        <f t="shared" ref="BU40" si="190">SUM(BU41:BU43)</f>
        <v>0</v>
      </c>
      <c r="BW40" s="201">
        <f t="shared" ref="BW40:CC40" si="191">SUM(BW41:BW43)</f>
        <v>0</v>
      </c>
      <c r="BX40" s="201">
        <f t="shared" ref="BX40" si="192">SUM(BX41:BX43)</f>
        <v>0</v>
      </c>
      <c r="BY40" s="201">
        <f t="shared" si="191"/>
        <v>0</v>
      </c>
      <c r="BZ40" s="201">
        <f t="shared" ref="BZ40:CA40" si="193">SUM(BZ41:BZ43)</f>
        <v>0</v>
      </c>
      <c r="CA40" s="201">
        <f t="shared" si="193"/>
        <v>0</v>
      </c>
      <c r="CB40" s="201">
        <f t="shared" si="191"/>
        <v>0</v>
      </c>
      <c r="CC40" s="201">
        <f t="shared" si="191"/>
        <v>0</v>
      </c>
      <c r="CE40" s="201">
        <f>SUM(CE41:CE43)</f>
        <v>0</v>
      </c>
      <c r="CF40" s="201" t="e">
        <f t="shared" ref="CF40:CH40" si="194">SUM(CF41:CF43)</f>
        <v>#REF!</v>
      </c>
      <c r="CH40" s="201" t="e">
        <f t="shared" si="194"/>
        <v>#REF!</v>
      </c>
    </row>
    <row r="41" spans="2:93">
      <c r="B41" s="192"/>
      <c r="C41" s="211"/>
      <c r="D41" s="207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7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7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7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7"/>
      <c r="BI41" s="209"/>
      <c r="BJ41" s="209"/>
      <c r="BK41" s="209"/>
      <c r="BL41" s="209"/>
      <c r="BM41" s="209"/>
      <c r="BN41" s="209"/>
      <c r="BO41" s="209"/>
      <c r="BP41" s="209"/>
      <c r="BQ41" s="209"/>
      <c r="BR41" s="209"/>
      <c r="BS41" s="209"/>
      <c r="BT41" s="209"/>
      <c r="BU41" s="209"/>
      <c r="BW41" s="209"/>
      <c r="BX41" s="209"/>
      <c r="BY41" s="209"/>
      <c r="BZ41" s="209"/>
      <c r="CA41" s="209"/>
      <c r="CB41" s="209"/>
      <c r="CC41" s="209"/>
      <c r="CD41" s="207"/>
      <c r="CE41" s="209"/>
      <c r="CF41" s="209"/>
      <c r="CG41" s="207"/>
      <c r="CH41" s="209"/>
    </row>
    <row r="42" spans="2:93">
      <c r="B42" s="192" t="s">
        <v>150</v>
      </c>
      <c r="C42" s="219"/>
      <c r="D42" s="207"/>
      <c r="E42" s="210">
        <f>SUM(F42:Q42)</f>
        <v>444898</v>
      </c>
      <c r="F42" s="210">
        <f>+'NOTAS ERI'!C156</f>
        <v>0</v>
      </c>
      <c r="G42" s="210">
        <f>+'NOTAS ERI'!D156</f>
        <v>0</v>
      </c>
      <c r="H42" s="210">
        <f>+'NOTAS ERI'!E156</f>
        <v>0</v>
      </c>
      <c r="I42" s="210">
        <f>+'NOTAS ERI'!F156</f>
        <v>0</v>
      </c>
      <c r="J42" s="210">
        <f>+'NOTAS ERI'!G156</f>
        <v>0</v>
      </c>
      <c r="K42" s="210">
        <f>+'NOTAS ERI'!H156</f>
        <v>0</v>
      </c>
      <c r="L42" s="210">
        <f>+'NOTAS ERI'!I156</f>
        <v>0</v>
      </c>
      <c r="M42" s="210">
        <f>+'NOTAS ERI'!J156</f>
        <v>0</v>
      </c>
      <c r="N42" s="210">
        <f>+'NOTAS ERI'!K156</f>
        <v>0</v>
      </c>
      <c r="O42" s="210">
        <f>+'NOTAS ERI'!L156</f>
        <v>0</v>
      </c>
      <c r="P42" s="210">
        <f>+'NOTAS ERI'!M156</f>
        <v>0</v>
      </c>
      <c r="Q42" s="210">
        <f>+'NOTAS ERI'!N156</f>
        <v>444898</v>
      </c>
      <c r="R42" s="207"/>
      <c r="S42" s="210">
        <f>SUM(T42:AE42)</f>
        <v>13660656.84</v>
      </c>
      <c r="T42" s="209">
        <f>+'NOTAS ERI'!Q156</f>
        <v>546725</v>
      </c>
      <c r="U42" s="209">
        <f>+'NOTAS ERI'!R156</f>
        <v>314748</v>
      </c>
      <c r="V42" s="209">
        <f>+'NOTAS ERI'!S156</f>
        <v>557832</v>
      </c>
      <c r="W42" s="209">
        <f>+'NOTAS ERI'!T156</f>
        <v>392107</v>
      </c>
      <c r="X42" s="209">
        <f>+'NOTAS ERI'!U156</f>
        <v>340805.32999999996</v>
      </c>
      <c r="Y42" s="209">
        <f>+'NOTAS ERI'!V156</f>
        <v>369904</v>
      </c>
      <c r="Z42" s="209">
        <f>+'NOTAS ERI'!W156</f>
        <v>432887</v>
      </c>
      <c r="AA42" s="209">
        <f>+'NOTAS ERI'!X156</f>
        <v>396592</v>
      </c>
      <c r="AB42" s="209">
        <f>+'NOTAS ERI'!Y156</f>
        <v>350945</v>
      </c>
      <c r="AC42" s="209">
        <f>+'NOTAS ERI'!Z156</f>
        <v>402359.51</v>
      </c>
      <c r="AD42" s="209">
        <f>+'NOTAS ERI'!AA156</f>
        <v>9364720</v>
      </c>
      <c r="AE42" s="209">
        <f>+'NOTAS ERI'!AB156</f>
        <v>191032</v>
      </c>
      <c r="AF42" s="207"/>
      <c r="AG42" s="209">
        <f>SUM(AH42:AS42)</f>
        <v>3254129</v>
      </c>
      <c r="AH42" s="209">
        <f>+'NOTAS ERI'!AE156</f>
        <v>197086</v>
      </c>
      <c r="AI42" s="209">
        <f>+'NOTAS ERI'!AF156</f>
        <v>215731</v>
      </c>
      <c r="AJ42" s="209">
        <f>+'NOTAS ERI'!AG156</f>
        <v>237239</v>
      </c>
      <c r="AK42" s="209">
        <f>+'NOTAS ERI'!AH156</f>
        <v>181455</v>
      </c>
      <c r="AL42" s="209">
        <f>+'NOTAS ERI'!AI156</f>
        <v>203991</v>
      </c>
      <c r="AM42" s="209">
        <f>+'NOTAS ERI'!AJ156</f>
        <v>185273</v>
      </c>
      <c r="AN42" s="209">
        <f>+'NOTAS ERI'!AK156</f>
        <v>1107971</v>
      </c>
      <c r="AO42" s="209">
        <f>+'NOTAS ERI'!AL156</f>
        <v>151796</v>
      </c>
      <c r="AP42" s="209">
        <f>+'NOTAS ERI'!AM156</f>
        <v>235286</v>
      </c>
      <c r="AQ42" s="209">
        <f>+'NOTAS ERI'!AN156</f>
        <v>190012</v>
      </c>
      <c r="AR42" s="209">
        <f>+'NOTAS ERI'!AO156</f>
        <v>179354</v>
      </c>
      <c r="AS42" s="209">
        <f>+'NOTAS ERI'!AP156</f>
        <v>168935</v>
      </c>
      <c r="AT42" s="207"/>
      <c r="AU42" s="209">
        <f t="shared" ref="AU42" si="195">SUM(AV42:BG42)</f>
        <v>3448789.05</v>
      </c>
      <c r="AV42" s="209">
        <f>+'NOTAS ERI'!AS156</f>
        <v>184127</v>
      </c>
      <c r="AW42" s="209">
        <f>+'NOTAS ERI'!AT156</f>
        <v>194843</v>
      </c>
      <c r="AX42" s="209">
        <f>+'NOTAS ERI'!AU156</f>
        <v>136858</v>
      </c>
      <c r="AY42" s="209">
        <f>+'NOTAS ERI'!AV156</f>
        <v>155028</v>
      </c>
      <c r="AZ42" s="209">
        <f>+'NOTAS ERI'!AW156</f>
        <v>136830</v>
      </c>
      <c r="BA42" s="209">
        <f>+'NOTAS ERI'!AX156</f>
        <v>342290</v>
      </c>
      <c r="BB42" s="209">
        <f>+'NOTAS ERI'!AY156</f>
        <v>145949</v>
      </c>
      <c r="BC42" s="209">
        <f>+'NOTAS ERI'!AZ156</f>
        <v>135282</v>
      </c>
      <c r="BD42" s="209">
        <f>+'NOTAS ERI'!BA156</f>
        <v>1170871.27</v>
      </c>
      <c r="BE42" s="209">
        <f>+'NOTAS ERI'!BB156</f>
        <v>198914</v>
      </c>
      <c r="BF42" s="209">
        <f>+'NOTAS ERI'!BC156</f>
        <v>502060.78</v>
      </c>
      <c r="BG42" s="209">
        <f>+'NOTAS ERI'!BD156</f>
        <v>145736</v>
      </c>
      <c r="BH42" s="207"/>
      <c r="BI42" s="209">
        <v>0</v>
      </c>
      <c r="BJ42" s="209">
        <f>+'NOTAS ERI'!BG156</f>
        <v>0</v>
      </c>
      <c r="BK42" s="209">
        <f>+'NOTAS ERI'!BH156</f>
        <v>0</v>
      </c>
      <c r="BL42" s="209">
        <f>+'NOTAS ERI'!BI156</f>
        <v>0</v>
      </c>
      <c r="BM42" s="209">
        <f>+'NOTAS ERI'!BJ156</f>
        <v>533.59</v>
      </c>
      <c r="BN42" s="209">
        <f>+'NOTAS ERI'!BK156</f>
        <v>0</v>
      </c>
      <c r="BO42" s="209">
        <f>+'NOTAS ERI'!BL156</f>
        <v>0</v>
      </c>
      <c r="BP42" s="209">
        <f>+'NOTAS ERI'!BM156</f>
        <v>0</v>
      </c>
      <c r="BQ42" s="209">
        <f>+'NOTAS ERI'!BN156</f>
        <v>0</v>
      </c>
      <c r="BR42" s="209">
        <f>+'NOTAS ERI'!BO156</f>
        <v>0</v>
      </c>
      <c r="BS42" s="209">
        <f>+'NOTAS ERI'!BP156</f>
        <v>0</v>
      </c>
      <c r="BT42" s="209">
        <f>+'NOTAS ERI'!BQ156</f>
        <v>0</v>
      </c>
      <c r="BU42" s="209">
        <f>+'NOTAS ERI'!BR156</f>
        <v>0</v>
      </c>
      <c r="BW42" s="209">
        <f>+'NOTAS ERI'!BT156</f>
        <v>0</v>
      </c>
      <c r="BX42" s="209">
        <f>+'NOTAS ERI'!BU156</f>
        <v>0</v>
      </c>
      <c r="BY42" s="209">
        <f>+'NOTAS ERI'!BV156</f>
        <v>0</v>
      </c>
      <c r="BZ42" s="209">
        <f>+'NOTAS ERI'!BW156</f>
        <v>0</v>
      </c>
      <c r="CA42" s="209">
        <f>+'NOTAS ERI'!BX156</f>
        <v>0</v>
      </c>
      <c r="CB42" s="209">
        <f>+'NOTAS ERI'!BY156</f>
        <v>0</v>
      </c>
      <c r="CC42" s="209">
        <f>+'NOTAS ERI'!BZ156</f>
        <v>0</v>
      </c>
      <c r="CD42" s="207"/>
      <c r="CE42" s="209">
        <f>+'NOTAS ERI'!CB156</f>
        <v>0</v>
      </c>
      <c r="CF42" s="209" t="e">
        <f>+'NOTAS ERI'!#REF!</f>
        <v>#REF!</v>
      </c>
      <c r="CG42" s="207"/>
      <c r="CH42" s="209" t="e">
        <f>+'NOTAS ERI'!#REF!</f>
        <v>#REF!</v>
      </c>
    </row>
    <row r="43" spans="2:93" ht="12.75" customHeight="1">
      <c r="B43" s="192" t="s">
        <v>151</v>
      </c>
      <c r="C43" s="219"/>
      <c r="D43" s="207"/>
      <c r="E43" s="210">
        <f>SUM(R43:AC43)</f>
        <v>0</v>
      </c>
      <c r="F43" s="210">
        <f t="shared" ref="F43:Q43" si="196">SUM(H43:S43)</f>
        <v>0</v>
      </c>
      <c r="G43" s="210">
        <f t="shared" si="196"/>
        <v>0</v>
      </c>
      <c r="H43" s="210">
        <f t="shared" si="196"/>
        <v>0</v>
      </c>
      <c r="I43" s="210">
        <f t="shared" si="196"/>
        <v>0</v>
      </c>
      <c r="J43" s="210">
        <f t="shared" si="196"/>
        <v>0</v>
      </c>
      <c r="K43" s="210">
        <f t="shared" si="196"/>
        <v>0</v>
      </c>
      <c r="L43" s="210">
        <f t="shared" si="196"/>
        <v>0</v>
      </c>
      <c r="M43" s="210">
        <f t="shared" si="196"/>
        <v>0</v>
      </c>
      <c r="N43" s="210">
        <f t="shared" si="196"/>
        <v>0</v>
      </c>
      <c r="O43" s="210">
        <f t="shared" si="196"/>
        <v>0</v>
      </c>
      <c r="P43" s="210">
        <f t="shared" si="196"/>
        <v>0</v>
      </c>
      <c r="Q43" s="210">
        <f t="shared" si="196"/>
        <v>0</v>
      </c>
      <c r="R43" s="207"/>
      <c r="S43" s="210">
        <f>SUM(T43:AE43)</f>
        <v>0</v>
      </c>
      <c r="T43" s="209">
        <f>+'NOTAS ERI'!Q165</f>
        <v>0</v>
      </c>
      <c r="U43" s="209">
        <f>+'NOTAS ERI'!R165</f>
        <v>0</v>
      </c>
      <c r="V43" s="209">
        <f>+'NOTAS ERI'!S165</f>
        <v>0</v>
      </c>
      <c r="W43" s="209">
        <f>+'NOTAS ERI'!T165</f>
        <v>0</v>
      </c>
      <c r="X43" s="209">
        <f>+'NOTAS ERI'!U165</f>
        <v>0</v>
      </c>
      <c r="Y43" s="209">
        <f>+'NOTAS ERI'!V165</f>
        <v>0</v>
      </c>
      <c r="Z43" s="209">
        <f>+'NOTAS ERI'!W165</f>
        <v>0</v>
      </c>
      <c r="AA43" s="209">
        <f>+'NOTAS ERI'!X165</f>
        <v>0</v>
      </c>
      <c r="AB43" s="209">
        <f>+'NOTAS ERI'!Y165</f>
        <v>0</v>
      </c>
      <c r="AC43" s="209">
        <f>+'NOTAS ERI'!Z165</f>
        <v>0</v>
      </c>
      <c r="AD43" s="209">
        <f>+'NOTAS ERI'!AA165</f>
        <v>0</v>
      </c>
      <c r="AE43" s="209">
        <f>+'NOTAS ERI'!AB165</f>
        <v>0</v>
      </c>
      <c r="AF43" s="207"/>
      <c r="AG43" s="209">
        <f>SUM(AH43:AS43)</f>
        <v>0</v>
      </c>
      <c r="AH43" s="209">
        <f>+'NOTAS ERI'!AE165</f>
        <v>0</v>
      </c>
      <c r="AI43" s="209">
        <f>+'NOTAS ERI'!AF165</f>
        <v>0</v>
      </c>
      <c r="AJ43" s="209">
        <f>+'NOTAS ERI'!AG165</f>
        <v>0</v>
      </c>
      <c r="AK43" s="209">
        <f>+'NOTAS ERI'!AH165</f>
        <v>0</v>
      </c>
      <c r="AL43" s="209">
        <f>+'NOTAS ERI'!AI165</f>
        <v>0</v>
      </c>
      <c r="AM43" s="209">
        <f>+'NOTAS ERI'!AJ165</f>
        <v>0</v>
      </c>
      <c r="AN43" s="209">
        <f>+'NOTAS ERI'!AK165</f>
        <v>0</v>
      </c>
      <c r="AO43" s="209">
        <f>+'NOTAS ERI'!AL165</f>
        <v>0</v>
      </c>
      <c r="AP43" s="209">
        <f>+'NOTAS ERI'!AM165</f>
        <v>0</v>
      </c>
      <c r="AQ43" s="209">
        <f>+'NOTAS ERI'!AN165</f>
        <v>0</v>
      </c>
      <c r="AR43" s="209">
        <f>+'NOTAS ERI'!AO165</f>
        <v>0</v>
      </c>
      <c r="AS43" s="209">
        <f>+'NOTAS ERI'!AP165</f>
        <v>0</v>
      </c>
      <c r="AT43" s="207"/>
      <c r="AU43" s="209">
        <f t="shared" si="29"/>
        <v>0</v>
      </c>
      <c r="AV43" s="209">
        <v>0</v>
      </c>
      <c r="AW43" s="209">
        <v>0</v>
      </c>
      <c r="AX43" s="209">
        <v>0</v>
      </c>
      <c r="AY43" s="209">
        <v>0</v>
      </c>
      <c r="AZ43" s="209">
        <v>0</v>
      </c>
      <c r="BA43" s="209">
        <v>0</v>
      </c>
      <c r="BB43" s="209">
        <v>0</v>
      </c>
      <c r="BC43" s="209">
        <v>0</v>
      </c>
      <c r="BD43" s="209">
        <v>0</v>
      </c>
      <c r="BE43" s="209">
        <v>0</v>
      </c>
      <c r="BF43" s="209">
        <v>0</v>
      </c>
      <c r="BG43" s="209">
        <v>0</v>
      </c>
      <c r="BH43" s="207"/>
      <c r="BI43" s="209">
        <v>0</v>
      </c>
      <c r="BJ43" s="209">
        <v>0</v>
      </c>
      <c r="BK43" s="209">
        <v>0</v>
      </c>
      <c r="BL43" s="209">
        <v>0</v>
      </c>
      <c r="BM43" s="209">
        <v>0</v>
      </c>
      <c r="BN43" s="209">
        <v>0</v>
      </c>
      <c r="BO43" s="209">
        <v>0</v>
      </c>
      <c r="BP43" s="209">
        <v>0</v>
      </c>
      <c r="BQ43" s="209">
        <v>0</v>
      </c>
      <c r="BR43" s="209">
        <v>0</v>
      </c>
      <c r="BS43" s="209">
        <v>0</v>
      </c>
      <c r="BT43" s="209">
        <v>0</v>
      </c>
      <c r="BU43" s="209">
        <v>0</v>
      </c>
      <c r="BW43" s="209">
        <v>0</v>
      </c>
      <c r="BX43" s="209">
        <v>0</v>
      </c>
      <c r="BY43" s="209">
        <v>0</v>
      </c>
      <c r="BZ43" s="209">
        <v>0</v>
      </c>
      <c r="CA43" s="209">
        <v>0</v>
      </c>
      <c r="CB43" s="209">
        <v>0</v>
      </c>
      <c r="CC43" s="209">
        <v>0</v>
      </c>
      <c r="CD43" s="207"/>
      <c r="CE43" s="209">
        <f>+'NOTAS ERI'!CB169</f>
        <v>0</v>
      </c>
      <c r="CF43" s="209" t="e">
        <f>+'NOTAS ERI'!#REF!</f>
        <v>#REF!</v>
      </c>
      <c r="CG43" s="207"/>
      <c r="CH43" s="209" t="e">
        <f>+'NOTAS ERI'!#REF!</f>
        <v>#REF!</v>
      </c>
    </row>
    <row r="44" spans="2:93">
      <c r="B44" s="192"/>
      <c r="C44" s="211"/>
      <c r="D44" s="207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7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7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7"/>
      <c r="AU44" s="209"/>
      <c r="AV44" s="209"/>
      <c r="AW44" s="209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7"/>
      <c r="BI44" s="209"/>
      <c r="BJ44" s="209"/>
      <c r="BK44" s="209"/>
      <c r="BL44" s="209"/>
      <c r="BM44" s="209"/>
      <c r="BN44" s="209"/>
      <c r="BO44" s="209"/>
      <c r="BP44" s="209"/>
      <c r="BQ44" s="209"/>
      <c r="BR44" s="209"/>
      <c r="BS44" s="209"/>
      <c r="BT44" s="209"/>
      <c r="BU44" s="209"/>
      <c r="BW44" s="209"/>
      <c r="BX44" s="209"/>
      <c r="BY44" s="209"/>
      <c r="BZ44" s="209"/>
      <c r="CA44" s="209"/>
      <c r="CB44" s="209"/>
      <c r="CC44" s="209"/>
      <c r="CD44" s="207"/>
      <c r="CE44" s="209"/>
      <c r="CF44" s="209"/>
      <c r="CG44" s="207"/>
      <c r="CH44" s="209"/>
    </row>
    <row r="45" spans="2:93">
      <c r="B45" s="212" t="s">
        <v>152</v>
      </c>
      <c r="C45" s="213"/>
      <c r="E45" s="214">
        <f t="shared" ref="E45:Q45" si="197">+E28+E29+E31+E33+E34+E35+E36+E37+E38+E40+E32+E30</f>
        <v>52769764</v>
      </c>
      <c r="F45" s="214">
        <f t="shared" ref="F45:G45" si="198">+F28+F29+F31+F33+F34+F35+F36+F37+F38+F40+F32+F30</f>
        <v>0</v>
      </c>
      <c r="G45" s="214">
        <f t="shared" si="198"/>
        <v>0</v>
      </c>
      <c r="H45" s="214">
        <f t="shared" si="197"/>
        <v>0</v>
      </c>
      <c r="I45" s="214">
        <f t="shared" ref="I45:J45" si="199">+I28+I29+I31+I33+I34+I35+I36+I37+I38+I40+I32+I30</f>
        <v>0</v>
      </c>
      <c r="J45" s="214">
        <f t="shared" si="199"/>
        <v>0</v>
      </c>
      <c r="K45" s="214">
        <f t="shared" si="197"/>
        <v>0</v>
      </c>
      <c r="L45" s="214">
        <f t="shared" ref="L45:M45" si="200">+L28+L29+L31+L33+L34+L35+L36+L37+L38+L40+L32+L30</f>
        <v>0</v>
      </c>
      <c r="M45" s="214">
        <f t="shared" si="200"/>
        <v>0</v>
      </c>
      <c r="N45" s="214">
        <f t="shared" si="197"/>
        <v>0</v>
      </c>
      <c r="O45" s="214">
        <f t="shared" ref="O45:P45" si="201">+O28+O29+O31+O33+O34+O35+O36+O37+O38+O40+O32+O30</f>
        <v>0</v>
      </c>
      <c r="P45" s="214">
        <f t="shared" si="201"/>
        <v>0</v>
      </c>
      <c r="Q45" s="214">
        <f t="shared" si="197"/>
        <v>52769764</v>
      </c>
      <c r="S45" s="214">
        <f t="shared" ref="S45:AE45" si="202">+S28+S29+S31+S33+S34+S35+S36+S37+S38+S40+S32+S30</f>
        <v>321205729.83999997</v>
      </c>
      <c r="T45" s="214">
        <f t="shared" ref="T45" si="203">+T28+T29+T31+T33+T34+T35+T36+T37+T38+T40+T32+T30</f>
        <v>32000694</v>
      </c>
      <c r="U45" s="214">
        <f t="shared" si="202"/>
        <v>30438588</v>
      </c>
      <c r="V45" s="214">
        <f t="shared" ref="V45:W45" si="204">+V28+V29+V31+V33+V34+V35+V36+V37+V38+V40+V32+V30</f>
        <v>28798362</v>
      </c>
      <c r="W45" s="214">
        <f t="shared" si="204"/>
        <v>26725852</v>
      </c>
      <c r="X45" s="214">
        <f t="shared" si="202"/>
        <v>26768433.329999998</v>
      </c>
      <c r="Y45" s="214">
        <f t="shared" ref="Y45:Z45" si="205">+Y28+Y29+Y31+Y33+Y34+Y35+Y36+Y37+Y38+Y40+Y32+Y30</f>
        <v>27973968</v>
      </c>
      <c r="Z45" s="214">
        <f t="shared" si="205"/>
        <v>27434956</v>
      </c>
      <c r="AA45" s="214">
        <f t="shared" si="202"/>
        <v>28129453</v>
      </c>
      <c r="AB45" s="214">
        <f t="shared" si="202"/>
        <v>28123918</v>
      </c>
      <c r="AC45" s="214">
        <f t="shared" si="202"/>
        <v>26244727.510000002</v>
      </c>
      <c r="AD45" s="214">
        <f t="shared" si="202"/>
        <v>30879375</v>
      </c>
      <c r="AE45" s="214">
        <f t="shared" si="202"/>
        <v>7687403</v>
      </c>
      <c r="AG45" s="214">
        <f>+AG28+AG29+AG31+AG33+AG34+AG35+AG36+AG37+AG38+AG40+AG32+AG30</f>
        <v>82970857.819999993</v>
      </c>
      <c r="AH45" s="214">
        <f t="shared" ref="AH45:AN45" si="206">+AH28+AH29+AH31+AH33+AH34+AH35+AH36+AH37+AH38+AH40+AH32</f>
        <v>4500592</v>
      </c>
      <c r="AI45" s="214">
        <f t="shared" si="206"/>
        <v>4565015</v>
      </c>
      <c r="AJ45" s="214">
        <f t="shared" si="206"/>
        <v>4806138</v>
      </c>
      <c r="AK45" s="214">
        <f t="shared" si="206"/>
        <v>6474214</v>
      </c>
      <c r="AL45" s="214">
        <f t="shared" si="206"/>
        <v>6496750</v>
      </c>
      <c r="AM45" s="214">
        <f t="shared" si="206"/>
        <v>6571452.1600000001</v>
      </c>
      <c r="AN45" s="214">
        <f t="shared" si="206"/>
        <v>7652764</v>
      </c>
      <c r="AO45" s="214">
        <f>+AO28+AO29+AO31+AO33+AO34+AO35+AO36+AO37+AO38+AO40+AO32+AO30</f>
        <v>8510105.6600000001</v>
      </c>
      <c r="AP45" s="214">
        <f>+AP28+AP29+AP31+AP33+AP34+AP35+AP36+AP37+AP38+AP40+AP32+AP30</f>
        <v>9031298</v>
      </c>
      <c r="AQ45" s="214">
        <f>+AQ28+AQ29+AQ31+AQ33+AQ34+AQ35+AQ36+AQ37+AQ38+AQ40+AQ32+AQ30</f>
        <v>9279024</v>
      </c>
      <c r="AR45" s="214">
        <f>+AR28+AR29+AR31+AR33+AR34+AR35+AR36+AR37+AR38+AR40+AR32+AR30</f>
        <v>8593494</v>
      </c>
      <c r="AS45" s="214">
        <f>+AS28+AS29+AS31+AS33+AS34+AS35+AS36+AS37+AS38+AS40+AS32+AS30</f>
        <v>6490011</v>
      </c>
      <c r="AU45" s="214">
        <f>+AU28+AU29+AU31+AU33+AU34+AU35+AU36+AU37+AU38+AU40+AU32+AU30</f>
        <v>93845675.359999999</v>
      </c>
      <c r="AV45" s="214">
        <f t="shared" ref="AV45:BD45" si="207">+AV28+AV29+AV31+AV33+AV34+AV35+AV36+AV37+AV38+AV40+AV32</f>
        <v>9146944</v>
      </c>
      <c r="AW45" s="214">
        <f t="shared" si="207"/>
        <v>6924893.0800000001</v>
      </c>
      <c r="AX45" s="214">
        <f t="shared" si="207"/>
        <v>6686399</v>
      </c>
      <c r="AY45" s="214">
        <f t="shared" si="207"/>
        <v>5825978</v>
      </c>
      <c r="AZ45" s="214">
        <f t="shared" si="207"/>
        <v>6838725.1399999997</v>
      </c>
      <c r="BA45" s="214">
        <f t="shared" si="207"/>
        <v>7167534</v>
      </c>
      <c r="BB45" s="214">
        <f t="shared" si="207"/>
        <v>7311640</v>
      </c>
      <c r="BC45" s="214">
        <f t="shared" si="207"/>
        <v>6703832</v>
      </c>
      <c r="BD45" s="214">
        <f t="shared" si="207"/>
        <v>7614433.2699999996</v>
      </c>
      <c r="BE45" s="214">
        <f>+BE28+BE29+BE31+BE33+BE34+BE35+BE36+BE37+BE38+BE40+BE32+BE30</f>
        <v>13073647.09</v>
      </c>
      <c r="BF45" s="214">
        <f>+BF28+BF29+BF31+BF33+BF34+BF35+BF36+BF37+BF38+BF40+BF32</f>
        <v>7089209.7800000003</v>
      </c>
      <c r="BG45" s="214">
        <f>+BG28+BG29+BG31+BG33+BG34+BG35+BG36+BG37+BG38+BG40</f>
        <v>9462440</v>
      </c>
      <c r="BH45" s="195"/>
      <c r="BI45" s="214">
        <f t="shared" ref="BI45:BU45" si="208">+BI28+BI29+BI31+BI33+BI34+BI35+BI36+BI37+BI38+BI40</f>
        <v>47493788.506479949</v>
      </c>
      <c r="BJ45" s="214" t="e">
        <f t="shared" si="208"/>
        <v>#REF!</v>
      </c>
      <c r="BK45" s="214" t="e">
        <f t="shared" si="208"/>
        <v>#REF!</v>
      </c>
      <c r="BL45" s="214" t="e">
        <f t="shared" si="208"/>
        <v>#REF!</v>
      </c>
      <c r="BM45" s="214" t="e">
        <f t="shared" si="208"/>
        <v>#REF!</v>
      </c>
      <c r="BN45" s="214" t="e">
        <f t="shared" si="208"/>
        <v>#REF!</v>
      </c>
      <c r="BO45" s="214" t="e">
        <f t="shared" si="208"/>
        <v>#REF!</v>
      </c>
      <c r="BP45" s="214" t="e">
        <f t="shared" si="208"/>
        <v>#REF!</v>
      </c>
      <c r="BQ45" s="214" t="e">
        <f t="shared" si="208"/>
        <v>#REF!</v>
      </c>
      <c r="BR45" s="214" t="e">
        <f t="shared" si="208"/>
        <v>#REF!</v>
      </c>
      <c r="BS45" s="214" t="e">
        <f t="shared" si="208"/>
        <v>#REF!</v>
      </c>
      <c r="BT45" s="214" t="e">
        <f t="shared" si="208"/>
        <v>#REF!</v>
      </c>
      <c r="BU45" s="214" t="e">
        <f t="shared" si="208"/>
        <v>#REF!</v>
      </c>
      <c r="BW45" s="214" t="e">
        <f t="shared" ref="BW45:CC45" si="209">+BW26+BW40</f>
        <v>#REF!</v>
      </c>
      <c r="BX45" s="214" t="e">
        <f t="shared" si="209"/>
        <v>#REF!</v>
      </c>
      <c r="BY45" s="214" t="e">
        <f t="shared" si="209"/>
        <v>#REF!</v>
      </c>
      <c r="BZ45" s="214" t="e">
        <f t="shared" si="209"/>
        <v>#REF!</v>
      </c>
      <c r="CA45" s="214" t="e">
        <f t="shared" si="209"/>
        <v>#REF!</v>
      </c>
      <c r="CB45" s="214" t="e">
        <f t="shared" si="209"/>
        <v>#REF!</v>
      </c>
      <c r="CC45" s="214" t="e">
        <f t="shared" si="209"/>
        <v>#REF!</v>
      </c>
      <c r="CE45" s="214" t="e">
        <f>+CE26+CE40</f>
        <v>#REF!</v>
      </c>
      <c r="CF45" s="214" t="e">
        <f>+CF40+CF26</f>
        <v>#REF!</v>
      </c>
      <c r="CH45" s="214" t="e">
        <f>+CH40+CH26</f>
        <v>#REF!</v>
      </c>
      <c r="CO45" s="487"/>
    </row>
    <row r="46" spans="2:93">
      <c r="C46" s="221"/>
      <c r="E46" s="195">
        <f>SUM(AE46:AM46)</f>
        <v>0</v>
      </c>
      <c r="F46" s="195">
        <f t="shared" ref="F46:Q46" si="210">SUM(U46:AC46)</f>
        <v>0</v>
      </c>
      <c r="G46" s="195">
        <f t="shared" si="210"/>
        <v>0</v>
      </c>
      <c r="H46" s="195">
        <f t="shared" si="210"/>
        <v>0</v>
      </c>
      <c r="I46" s="195">
        <f t="shared" si="210"/>
        <v>0</v>
      </c>
      <c r="J46" s="195">
        <f t="shared" si="210"/>
        <v>0</v>
      </c>
      <c r="K46" s="195">
        <f t="shared" si="210"/>
        <v>0</v>
      </c>
      <c r="L46" s="195">
        <f t="shared" si="210"/>
        <v>0</v>
      </c>
      <c r="M46" s="195">
        <f t="shared" si="210"/>
        <v>0</v>
      </c>
      <c r="N46" s="195">
        <f t="shared" si="210"/>
        <v>0</v>
      </c>
      <c r="O46" s="195">
        <f t="shared" si="210"/>
        <v>0</v>
      </c>
      <c r="P46" s="195">
        <f t="shared" si="210"/>
        <v>0</v>
      </c>
      <c r="Q46" s="195">
        <f t="shared" si="210"/>
        <v>0</v>
      </c>
      <c r="S46" s="195">
        <f>SUM(AG46:AO46)</f>
        <v>0</v>
      </c>
      <c r="T46" s="195">
        <f t="shared" ref="T46:AE46" si="211">SUM(X46:AF46)</f>
        <v>0</v>
      </c>
      <c r="U46" s="195">
        <f t="shared" si="211"/>
        <v>0</v>
      </c>
      <c r="V46" s="195">
        <f t="shared" si="211"/>
        <v>0</v>
      </c>
      <c r="W46" s="195">
        <f t="shared" si="211"/>
        <v>0</v>
      </c>
      <c r="X46" s="195">
        <f t="shared" si="211"/>
        <v>0</v>
      </c>
      <c r="Y46" s="195">
        <f t="shared" si="211"/>
        <v>0</v>
      </c>
      <c r="Z46" s="195">
        <f t="shared" si="211"/>
        <v>0</v>
      </c>
      <c r="AA46" s="195">
        <f t="shared" si="211"/>
        <v>0</v>
      </c>
      <c r="AB46" s="195">
        <f t="shared" si="211"/>
        <v>0</v>
      </c>
      <c r="AC46" s="195">
        <f t="shared" si="211"/>
        <v>0</v>
      </c>
      <c r="AD46" s="195">
        <f t="shared" si="211"/>
        <v>0</v>
      </c>
      <c r="AE46" s="195">
        <f t="shared" si="211"/>
        <v>0</v>
      </c>
      <c r="AG46" s="195">
        <f>SUM(AK46:AS46)</f>
        <v>0</v>
      </c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95"/>
      <c r="BQ46" s="195"/>
      <c r="BR46" s="195"/>
      <c r="BS46" s="195"/>
      <c r="BT46" s="195"/>
      <c r="BU46" s="195"/>
      <c r="BW46" s="195"/>
      <c r="BX46" s="195"/>
      <c r="BY46" s="195"/>
      <c r="BZ46" s="195"/>
      <c r="CA46" s="195"/>
      <c r="CB46" s="195"/>
      <c r="CC46" s="195"/>
      <c r="CE46" s="195"/>
      <c r="CF46" s="195"/>
      <c r="CH46" s="195"/>
      <c r="CO46" s="196"/>
    </row>
    <row r="47" spans="2:93">
      <c r="B47" s="212" t="s">
        <v>153</v>
      </c>
      <c r="C47" s="213"/>
      <c r="E47" s="214">
        <f t="shared" ref="E47:Q47" si="212">+E20-E45</f>
        <v>-7746505</v>
      </c>
      <c r="F47" s="214">
        <f t="shared" ref="F47:G47" si="213">+F20-F45</f>
        <v>0</v>
      </c>
      <c r="G47" s="214">
        <f t="shared" si="213"/>
        <v>0</v>
      </c>
      <c r="H47" s="214">
        <f t="shared" si="212"/>
        <v>0</v>
      </c>
      <c r="I47" s="214">
        <f t="shared" ref="I47:J47" si="214">+I20-I45</f>
        <v>0</v>
      </c>
      <c r="J47" s="214">
        <f t="shared" si="214"/>
        <v>0</v>
      </c>
      <c r="K47" s="214">
        <f t="shared" si="212"/>
        <v>0</v>
      </c>
      <c r="L47" s="214">
        <f t="shared" ref="L47:M47" si="215">+L20-L45</f>
        <v>0</v>
      </c>
      <c r="M47" s="214">
        <f t="shared" si="215"/>
        <v>0</v>
      </c>
      <c r="N47" s="214">
        <f t="shared" si="212"/>
        <v>0</v>
      </c>
      <c r="O47" s="214">
        <f t="shared" ref="O47:P47" si="216">+O20-O45</f>
        <v>0</v>
      </c>
      <c r="P47" s="214">
        <f t="shared" si="216"/>
        <v>0</v>
      </c>
      <c r="Q47" s="214">
        <f t="shared" si="212"/>
        <v>-7746505</v>
      </c>
      <c r="S47" s="214">
        <f t="shared" ref="S47:AE47" si="217">+S20-S45</f>
        <v>49119433.910000026</v>
      </c>
      <c r="T47" s="214">
        <f t="shared" ref="T47" si="218">+T20-T45</f>
        <v>9397775</v>
      </c>
      <c r="U47" s="214">
        <f t="shared" si="217"/>
        <v>11579881</v>
      </c>
      <c r="V47" s="214">
        <f t="shared" ref="V47:W47" si="219">+V20-V45</f>
        <v>14856509</v>
      </c>
      <c r="W47" s="214">
        <f t="shared" si="219"/>
        <v>16232617</v>
      </c>
      <c r="X47" s="214">
        <f t="shared" si="217"/>
        <v>4250035.6700000018</v>
      </c>
      <c r="Y47" s="214">
        <f t="shared" ref="Y47:Z47" si="220">+Y20-Y45</f>
        <v>1204501</v>
      </c>
      <c r="Z47" s="214">
        <f t="shared" si="220"/>
        <v>1363513</v>
      </c>
      <c r="AA47" s="214">
        <f t="shared" si="217"/>
        <v>-1514535</v>
      </c>
      <c r="AB47" s="214">
        <f t="shared" si="217"/>
        <v>-667136</v>
      </c>
      <c r="AC47" s="214">
        <f t="shared" si="217"/>
        <v>3303741.4899999984</v>
      </c>
      <c r="AD47" s="214">
        <f t="shared" si="217"/>
        <v>-4710906</v>
      </c>
      <c r="AE47" s="214">
        <f t="shared" si="217"/>
        <v>-6176562.25</v>
      </c>
      <c r="AG47" s="214">
        <f t="shared" ref="AG47:AS47" si="221">+AG20-AG45</f>
        <v>12640911.180000007</v>
      </c>
      <c r="AH47" s="214">
        <f t="shared" si="221"/>
        <v>2410046</v>
      </c>
      <c r="AI47" s="214">
        <f t="shared" si="221"/>
        <v>2744572</v>
      </c>
      <c r="AJ47" s="214">
        <f t="shared" si="221"/>
        <v>2103862</v>
      </c>
      <c r="AK47" s="214">
        <f t="shared" si="221"/>
        <v>436665</v>
      </c>
      <c r="AL47" s="214">
        <f t="shared" si="221"/>
        <v>1413250</v>
      </c>
      <c r="AM47" s="214">
        <f t="shared" si="221"/>
        <v>2698547.84</v>
      </c>
      <c r="AN47" s="214">
        <f t="shared" si="221"/>
        <v>-632395</v>
      </c>
      <c r="AO47" s="214">
        <f t="shared" si="221"/>
        <v>1230190.3399999999</v>
      </c>
      <c r="AP47" s="214">
        <f t="shared" si="221"/>
        <v>-2011298</v>
      </c>
      <c r="AQ47" s="214">
        <f t="shared" si="221"/>
        <v>1540976</v>
      </c>
      <c r="AR47" s="214">
        <f t="shared" si="221"/>
        <v>-1033494</v>
      </c>
      <c r="AS47" s="214">
        <f t="shared" si="221"/>
        <v>1739989</v>
      </c>
      <c r="AU47" s="214">
        <f t="shared" ref="AU47:BG47" si="222">+AU20-AU45</f>
        <v>8967538.6400000006</v>
      </c>
      <c r="AV47" s="214">
        <f t="shared" si="222"/>
        <v>-961521</v>
      </c>
      <c r="AW47" s="214">
        <f t="shared" si="222"/>
        <v>1260529.92</v>
      </c>
      <c r="AX47" s="214">
        <f t="shared" si="222"/>
        <v>5073601</v>
      </c>
      <c r="AY47" s="214">
        <f t="shared" si="222"/>
        <v>-3465978</v>
      </c>
      <c r="AZ47" s="214">
        <f t="shared" si="222"/>
        <v>-948325.13999999966</v>
      </c>
      <c r="BA47" s="214">
        <f t="shared" si="222"/>
        <v>-807534</v>
      </c>
      <c r="BB47" s="214">
        <f t="shared" si="222"/>
        <v>-231640</v>
      </c>
      <c r="BC47" s="214">
        <f t="shared" si="222"/>
        <v>35236168</v>
      </c>
      <c r="BD47" s="214">
        <f t="shared" si="222"/>
        <v>-3102433.2699999996</v>
      </c>
      <c r="BE47" s="214">
        <f t="shared" si="222"/>
        <v>-11553647.09</v>
      </c>
      <c r="BF47" s="214">
        <f t="shared" si="222"/>
        <v>-5009209.78</v>
      </c>
      <c r="BG47" s="214">
        <f t="shared" si="222"/>
        <v>-6522272</v>
      </c>
      <c r="BH47" s="195"/>
      <c r="BI47" s="214">
        <f t="shared" ref="BI47:BU47" si="223">+BI20-BI45</f>
        <v>290436.49352005124</v>
      </c>
      <c r="BJ47" s="214" t="e">
        <f t="shared" si="223"/>
        <v>#REF!</v>
      </c>
      <c r="BK47" s="214" t="e">
        <f t="shared" si="223"/>
        <v>#REF!</v>
      </c>
      <c r="BL47" s="214" t="e">
        <f t="shared" si="223"/>
        <v>#REF!</v>
      </c>
      <c r="BM47" s="214" t="e">
        <f t="shared" si="223"/>
        <v>#REF!</v>
      </c>
      <c r="BN47" s="214" t="e">
        <f t="shared" si="223"/>
        <v>#REF!</v>
      </c>
      <c r="BO47" s="214" t="e">
        <f t="shared" si="223"/>
        <v>#REF!</v>
      </c>
      <c r="BP47" s="214" t="e">
        <f t="shared" si="223"/>
        <v>#REF!</v>
      </c>
      <c r="BQ47" s="214" t="e">
        <f t="shared" si="223"/>
        <v>#REF!</v>
      </c>
      <c r="BR47" s="214" t="e">
        <f t="shared" si="223"/>
        <v>#REF!</v>
      </c>
      <c r="BS47" s="214" t="e">
        <f t="shared" si="223"/>
        <v>#REF!</v>
      </c>
      <c r="BT47" s="214" t="e">
        <f t="shared" si="223"/>
        <v>#REF!</v>
      </c>
      <c r="BU47" s="214" t="e">
        <f t="shared" si="223"/>
        <v>#REF!</v>
      </c>
      <c r="BW47" s="214">
        <f>+'NOTAS ERI'!BT175</f>
        <v>1066515</v>
      </c>
      <c r="BX47" s="214" t="e">
        <f>+'NOTAS ERI'!BU175</f>
        <v>#REF!</v>
      </c>
      <c r="BY47" s="214" t="e">
        <f>+'NOTAS ERI'!BV175</f>
        <v>#REF!</v>
      </c>
      <c r="BZ47" s="214" t="e">
        <f>+'NOTAS ERI'!BW175</f>
        <v>#REF!</v>
      </c>
      <c r="CA47" s="214" t="e">
        <f>+'NOTAS ERI'!BX175</f>
        <v>#REF!</v>
      </c>
      <c r="CB47" s="214" t="e">
        <f>+'NOTAS ERI'!BY175</f>
        <v>#REF!</v>
      </c>
      <c r="CC47" s="214" t="e">
        <f>+'NOTAS ERI'!BZ175</f>
        <v>#REF!</v>
      </c>
      <c r="CE47" s="214" t="e">
        <f>+CE20-CE45</f>
        <v>#REF!</v>
      </c>
      <c r="CF47" s="214" t="e">
        <f>+CF23-CF45</f>
        <v>#REF!</v>
      </c>
      <c r="CH47" s="214" t="e">
        <f>+CH23-CH45</f>
        <v>#REF!</v>
      </c>
      <c r="CO47" s="488"/>
    </row>
    <row r="48" spans="2:93">
      <c r="C48" s="211"/>
      <c r="D48" s="207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7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7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7"/>
      <c r="AU48" s="209">
        <f t="shared" si="29"/>
        <v>0</v>
      </c>
      <c r="AV48" s="209"/>
      <c r="AW48" s="209"/>
      <c r="AX48" s="209"/>
      <c r="AY48" s="209"/>
      <c r="AZ48" s="209"/>
      <c r="BA48" s="209"/>
      <c r="BB48" s="209"/>
      <c r="BC48" s="209"/>
      <c r="BD48" s="209"/>
      <c r="BE48" s="209"/>
      <c r="BF48" s="209"/>
      <c r="BG48" s="209"/>
      <c r="BH48" s="207"/>
      <c r="BI48" s="209"/>
      <c r="BJ48" s="209"/>
      <c r="BK48" s="209"/>
      <c r="BL48" s="209"/>
      <c r="BM48" s="209"/>
      <c r="BN48" s="209"/>
      <c r="BO48" s="209"/>
      <c r="BP48" s="209"/>
      <c r="BQ48" s="209"/>
      <c r="BR48" s="209"/>
      <c r="BS48" s="209"/>
      <c r="BT48" s="209"/>
      <c r="BU48" s="209"/>
      <c r="BW48" s="209"/>
      <c r="BX48" s="209"/>
      <c r="BY48" s="209"/>
      <c r="BZ48" s="209"/>
      <c r="CA48" s="209"/>
      <c r="CB48" s="209"/>
      <c r="CC48" s="209"/>
      <c r="CD48" s="207"/>
      <c r="CE48" s="209"/>
      <c r="CF48" s="209"/>
      <c r="CG48" s="207"/>
      <c r="CH48" s="209"/>
    </row>
    <row r="49" spans="2:93">
      <c r="B49" s="194" t="str">
        <f>+'NOTAS ERI'!A177</f>
        <v>PROVISION IMP. RENTA</v>
      </c>
      <c r="C49" s="211"/>
      <c r="D49" s="207"/>
      <c r="E49" s="209">
        <f>+'NOTAS ERI'!N177</f>
        <v>0</v>
      </c>
      <c r="F49" s="209">
        <f>+'NOTAS ERI'!D177</f>
        <v>0</v>
      </c>
      <c r="G49" s="209">
        <f>+'NOTAS ERI'!E177</f>
        <v>0</v>
      </c>
      <c r="H49" s="209">
        <f>+'NOTAS ERI'!F177</f>
        <v>0</v>
      </c>
      <c r="I49" s="209">
        <f>+'NOTAS ERI'!G177</f>
        <v>0</v>
      </c>
      <c r="J49" s="209">
        <f>+'NOTAS ERI'!H177</f>
        <v>0</v>
      </c>
      <c r="K49" s="209">
        <f>+'NOTAS ERI'!I177</f>
        <v>0</v>
      </c>
      <c r="L49" s="209">
        <f>+'NOTAS ERI'!J177</f>
        <v>0</v>
      </c>
      <c r="M49" s="209">
        <f>+'NOTAS ERI'!K177</f>
        <v>0</v>
      </c>
      <c r="N49" s="209">
        <f>+'NOTAS ERI'!L177</f>
        <v>0</v>
      </c>
      <c r="O49" s="209">
        <f>+'NOTAS ERI'!M177</f>
        <v>0</v>
      </c>
      <c r="P49" s="209">
        <f>+'NOTAS ERI'!N177</f>
        <v>0</v>
      </c>
      <c r="Q49" s="209">
        <f>+'NOTAS ERI'!O177</f>
        <v>0</v>
      </c>
      <c r="R49" s="207"/>
      <c r="S49" s="209">
        <f>+'NOTAS ERI'!P177</f>
        <v>17191801.868500009</v>
      </c>
      <c r="T49" s="209">
        <f>+'NOTAS ERI'!Q177</f>
        <v>3289221.25</v>
      </c>
      <c r="U49" s="209">
        <f>+'NOTAS ERI'!R177</f>
        <v>4052958.3499999996</v>
      </c>
      <c r="V49" s="209">
        <f>+'NOTAS ERI'!S177</f>
        <v>5199778.1499999994</v>
      </c>
      <c r="W49" s="209">
        <f>+'NOTAS ERI'!T177</f>
        <v>5681415.9499999993</v>
      </c>
      <c r="X49" s="209">
        <f>+'NOTAS ERI'!U177</f>
        <v>1487512.4845000005</v>
      </c>
      <c r="Y49" s="209">
        <f>+'NOTAS ERI'!V177</f>
        <v>421575.35</v>
      </c>
      <c r="Z49" s="209">
        <f>+'NOTAS ERI'!W177</f>
        <v>477229.55</v>
      </c>
      <c r="AA49" s="209">
        <f>+'NOTAS ERI'!X177</f>
        <v>-530087.25</v>
      </c>
      <c r="AB49" s="209">
        <f>+'NOTAS ERI'!Y177</f>
        <v>-233497.59999999998</v>
      </c>
      <c r="AC49" s="209">
        <f>+'NOTAS ERI'!Z177</f>
        <v>1156309.5214999993</v>
      </c>
      <c r="AD49" s="209">
        <f>+'NOTAS ERI'!AA177</f>
        <v>-1648817.0999999999</v>
      </c>
      <c r="AE49" s="209">
        <f>+'NOTAS ERI'!AB177</f>
        <v>-2161796.7875000001</v>
      </c>
      <c r="AF49" s="207"/>
      <c r="AG49" s="209">
        <f>+AG47*35%</f>
        <v>4424318.9130000025</v>
      </c>
      <c r="AH49" s="209">
        <f t="shared" ref="AH49:AS49" si="224">+AH47*35%</f>
        <v>843516.1</v>
      </c>
      <c r="AI49" s="209">
        <f t="shared" si="224"/>
        <v>960600.2</v>
      </c>
      <c r="AJ49" s="209">
        <f t="shared" si="224"/>
        <v>736351.7</v>
      </c>
      <c r="AK49" s="209">
        <f t="shared" si="224"/>
        <v>152832.75</v>
      </c>
      <c r="AL49" s="209">
        <f t="shared" si="224"/>
        <v>494637.49999999994</v>
      </c>
      <c r="AM49" s="209">
        <f t="shared" si="224"/>
        <v>944491.74399999983</v>
      </c>
      <c r="AN49" s="209">
        <f t="shared" si="224"/>
        <v>-221338.25</v>
      </c>
      <c r="AO49" s="209">
        <f t="shared" si="224"/>
        <v>430566.61899999995</v>
      </c>
      <c r="AP49" s="209">
        <f t="shared" si="224"/>
        <v>-703954.29999999993</v>
      </c>
      <c r="AQ49" s="209">
        <f t="shared" si="224"/>
        <v>539341.6</v>
      </c>
      <c r="AR49" s="209">
        <f t="shared" si="224"/>
        <v>-361722.89999999997</v>
      </c>
      <c r="AS49" s="209">
        <f t="shared" si="224"/>
        <v>608996.14999999991</v>
      </c>
      <c r="AT49" s="207"/>
      <c r="AU49" s="209">
        <f>+AU47*35%</f>
        <v>3138638.5240000002</v>
      </c>
      <c r="AV49" s="209">
        <f>+'NOTAS ERI'!AT177</f>
        <v>0</v>
      </c>
      <c r="AW49" s="209">
        <f>+'NOTAS ERI'!AU177</f>
        <v>0</v>
      </c>
      <c r="AX49" s="209">
        <f>+'NOTAS ERI'!AV177</f>
        <v>0</v>
      </c>
      <c r="AY49" s="209">
        <f>+'NOTAS ERI'!AW177</f>
        <v>0</v>
      </c>
      <c r="AZ49" s="209">
        <f>+'NOTAS ERI'!AX177</f>
        <v>0</v>
      </c>
      <c r="BA49" s="209">
        <f>+'NOTAS ERI'!AY177</f>
        <v>0</v>
      </c>
      <c r="BB49" s="209">
        <f>+'NOTAS ERI'!AZ177</f>
        <v>0</v>
      </c>
      <c r="BC49" s="209">
        <f>+'NOTAS ERI'!BA177</f>
        <v>0</v>
      </c>
      <c r="BD49" s="209">
        <f>+'NOTAS ERI'!BB177</f>
        <v>0</v>
      </c>
      <c r="BE49" s="209">
        <f>+'NOTAS ERI'!BC177</f>
        <v>0</v>
      </c>
      <c r="BF49" s="209">
        <f>+'NOTAS ERI'!BD177</f>
        <v>0</v>
      </c>
      <c r="BG49" s="209">
        <f>+'NOTAS ERI'!BE177</f>
        <v>0</v>
      </c>
      <c r="BH49" s="207"/>
      <c r="BI49" s="209">
        <f>+'NOTAS ERI'!BF177</f>
        <v>0</v>
      </c>
      <c r="BJ49" s="209">
        <f>+'NOTAS ERI'!BG177</f>
        <v>0</v>
      </c>
      <c r="BK49" s="209">
        <f>+'NOTAS ERI'!BH177</f>
        <v>0</v>
      </c>
      <c r="BL49" s="209">
        <f>+'NOTAS ERI'!BI177</f>
        <v>0</v>
      </c>
      <c r="BM49" s="209">
        <f>+'NOTAS ERI'!BJ177</f>
        <v>0</v>
      </c>
      <c r="BN49" s="209">
        <f>+'NOTAS ERI'!BK177</f>
        <v>0</v>
      </c>
      <c r="BO49" s="209">
        <f>+'NOTAS ERI'!BL177</f>
        <v>0</v>
      </c>
      <c r="BP49" s="209">
        <f>+'NOTAS ERI'!BM177</f>
        <v>0</v>
      </c>
      <c r="BQ49" s="209">
        <f>+'NOTAS ERI'!BN177</f>
        <v>0</v>
      </c>
      <c r="BR49" s="209">
        <f>+'NOTAS ERI'!BO177</f>
        <v>0</v>
      </c>
      <c r="BS49" s="209">
        <f>+'NOTAS ERI'!BP177</f>
        <v>0</v>
      </c>
      <c r="BT49" s="209">
        <f>+'NOTAS ERI'!BQ177</f>
        <v>0</v>
      </c>
      <c r="BU49" s="209">
        <f>+'NOTAS ERI'!BR177</f>
        <v>0</v>
      </c>
      <c r="BW49" s="209">
        <f>+'NOTAS ERI'!BT177</f>
        <v>0</v>
      </c>
      <c r="BX49" s="209">
        <f>+'NOTAS ERI'!BU177</f>
        <v>0</v>
      </c>
      <c r="BY49" s="209" t="e">
        <f>+'NOTAS ERI'!BV177</f>
        <v>#REF!</v>
      </c>
      <c r="BZ49" s="209" t="e">
        <f>+'NOTAS ERI'!BW177</f>
        <v>#REF!</v>
      </c>
      <c r="CA49" s="209" t="e">
        <f>+'NOTAS ERI'!BX177</f>
        <v>#REF!</v>
      </c>
      <c r="CB49" s="209" t="e">
        <f>+'NOTAS ERI'!BY177</f>
        <v>#REF!</v>
      </c>
      <c r="CC49" s="209" t="e">
        <f>+'NOTAS ERI'!BZ177</f>
        <v>#REF!</v>
      </c>
      <c r="CD49" s="207"/>
      <c r="CE49" s="209" t="e">
        <f>+'NOTAS ERI'!CB177</f>
        <v>#REF!</v>
      </c>
      <c r="CF49" s="209" t="e">
        <f>+'NOTAS ERI'!#REF!</f>
        <v>#REF!</v>
      </c>
      <c r="CG49" s="207"/>
      <c r="CH49" s="209" t="e">
        <f>+'NOTAS ERI'!#REF!</f>
        <v>#REF!</v>
      </c>
      <c r="CO49" s="196"/>
    </row>
    <row r="50" spans="2:93">
      <c r="C50" s="211"/>
      <c r="D50" s="207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7"/>
      <c r="S50" s="209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7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7"/>
      <c r="AU50" s="209">
        <f t="shared" si="29"/>
        <v>0</v>
      </c>
      <c r="AV50" s="209"/>
      <c r="AW50" s="209"/>
      <c r="AX50" s="209"/>
      <c r="AY50" s="209"/>
      <c r="AZ50" s="209"/>
      <c r="BA50" s="209"/>
      <c r="BB50" s="209"/>
      <c r="BC50" s="209"/>
      <c r="BD50" s="209"/>
      <c r="BE50" s="209"/>
      <c r="BF50" s="209"/>
      <c r="BG50" s="209"/>
      <c r="BH50" s="207"/>
      <c r="BI50" s="209"/>
      <c r="BJ50" s="209"/>
      <c r="BK50" s="209"/>
      <c r="BL50" s="209"/>
      <c r="BM50" s="209"/>
      <c r="BN50" s="209"/>
      <c r="BO50" s="209"/>
      <c r="BP50" s="209"/>
      <c r="BQ50" s="209"/>
      <c r="BR50" s="209"/>
      <c r="BS50" s="209"/>
      <c r="BT50" s="209"/>
      <c r="BU50" s="209"/>
      <c r="BW50" s="209"/>
      <c r="BX50" s="209"/>
      <c r="BY50" s="209"/>
      <c r="BZ50" s="209"/>
      <c r="CA50" s="209"/>
      <c r="CB50" s="209"/>
      <c r="CC50" s="209"/>
      <c r="CD50" s="207"/>
      <c r="CE50" s="209"/>
      <c r="CF50" s="209"/>
      <c r="CG50" s="207"/>
      <c r="CH50" s="209"/>
      <c r="CO50" s="488"/>
    </row>
    <row r="51" spans="2:93">
      <c r="B51" s="212" t="s">
        <v>154</v>
      </c>
      <c r="C51" s="213"/>
      <c r="E51" s="214">
        <f t="shared" ref="E51:Q51" si="225">+E47-E49</f>
        <v>-7746505</v>
      </c>
      <c r="F51" s="214">
        <f t="shared" ref="F51:G51" si="226">+F47-F49</f>
        <v>0</v>
      </c>
      <c r="G51" s="214">
        <f t="shared" si="226"/>
        <v>0</v>
      </c>
      <c r="H51" s="214">
        <f t="shared" si="225"/>
        <v>0</v>
      </c>
      <c r="I51" s="214">
        <f t="shared" ref="I51:J51" si="227">+I47-I49</f>
        <v>0</v>
      </c>
      <c r="J51" s="214">
        <f t="shared" si="227"/>
        <v>0</v>
      </c>
      <c r="K51" s="214">
        <f t="shared" si="225"/>
        <v>0</v>
      </c>
      <c r="L51" s="214">
        <f t="shared" ref="L51:M51" si="228">+L47-L49</f>
        <v>0</v>
      </c>
      <c r="M51" s="214">
        <f t="shared" si="228"/>
        <v>0</v>
      </c>
      <c r="N51" s="214">
        <f t="shared" si="225"/>
        <v>0</v>
      </c>
      <c r="O51" s="214">
        <f t="shared" ref="O51:P51" si="229">+O47-O49</f>
        <v>0</v>
      </c>
      <c r="P51" s="214">
        <f t="shared" si="229"/>
        <v>0</v>
      </c>
      <c r="Q51" s="214">
        <f t="shared" si="225"/>
        <v>-7746505</v>
      </c>
      <c r="S51" s="214">
        <f t="shared" ref="S51:AE51" si="230">+S47-S49</f>
        <v>31927632.041500017</v>
      </c>
      <c r="T51" s="214">
        <f t="shared" ref="T51" si="231">+T47-T49</f>
        <v>6108553.75</v>
      </c>
      <c r="U51" s="214">
        <f t="shared" si="230"/>
        <v>7526922.6500000004</v>
      </c>
      <c r="V51" s="214">
        <f t="shared" ref="V51:W51" si="232">+V47-V49</f>
        <v>9656730.8500000015</v>
      </c>
      <c r="W51" s="214">
        <f t="shared" si="232"/>
        <v>10551201.050000001</v>
      </c>
      <c r="X51" s="214">
        <f t="shared" si="230"/>
        <v>2762523.1855000015</v>
      </c>
      <c r="Y51" s="214">
        <f t="shared" ref="Y51:Z51" si="233">+Y47-Y49</f>
        <v>782925.65</v>
      </c>
      <c r="Z51" s="214">
        <f t="shared" si="233"/>
        <v>886283.45</v>
      </c>
      <c r="AA51" s="214">
        <f t="shared" si="230"/>
        <v>-984447.75</v>
      </c>
      <c r="AB51" s="214">
        <f t="shared" si="230"/>
        <v>-433638.40000000002</v>
      </c>
      <c r="AC51" s="214">
        <f t="shared" si="230"/>
        <v>2147431.968499999</v>
      </c>
      <c r="AD51" s="214">
        <f t="shared" si="230"/>
        <v>-3062088.9000000004</v>
      </c>
      <c r="AE51" s="214">
        <f t="shared" si="230"/>
        <v>-4014765.4624999999</v>
      </c>
      <c r="AG51" s="214">
        <f>+AG47-AG49</f>
        <v>8216592.2670000046</v>
      </c>
      <c r="AH51" s="214">
        <f>+AH47-AH49</f>
        <v>1566529.9</v>
      </c>
      <c r="AI51" s="214">
        <f>+AI47-AI49</f>
        <v>1783971.8</v>
      </c>
      <c r="AJ51" s="214">
        <f>+AJ47-AJ49</f>
        <v>1367510.3</v>
      </c>
      <c r="AK51" s="214">
        <f>+AK47-AK49</f>
        <v>283832.25</v>
      </c>
      <c r="AL51" s="214">
        <f t="shared" ref="AL51" si="234">+AL47-AL49</f>
        <v>918612.5</v>
      </c>
      <c r="AM51" s="214">
        <f t="shared" ref="AM51:AN51" si="235">+AM47-AM49</f>
        <v>1754056.0959999999</v>
      </c>
      <c r="AN51" s="214">
        <f t="shared" si="235"/>
        <v>-411056.75</v>
      </c>
      <c r="AO51" s="214">
        <f t="shared" ref="AO51" si="236">+AO47-AO49</f>
        <v>799623.7209999999</v>
      </c>
      <c r="AP51" s="214">
        <f t="shared" ref="AP51" si="237">+AP47-AP49</f>
        <v>-1307343.7000000002</v>
      </c>
      <c r="AQ51" s="214">
        <f t="shared" ref="AQ51" si="238">+AQ47-AQ49</f>
        <v>1001634.4</v>
      </c>
      <c r="AR51" s="214">
        <f t="shared" ref="AR51" si="239">+AR47-AR49</f>
        <v>-671771.10000000009</v>
      </c>
      <c r="AS51" s="214">
        <f t="shared" ref="AS51" si="240">+AS47-AS49</f>
        <v>1130992.8500000001</v>
      </c>
      <c r="AU51" s="214">
        <f>+AU47-AU49</f>
        <v>5828900.1160000004</v>
      </c>
      <c r="AV51" s="214">
        <f t="shared" ref="AV51:AW51" si="241">+AV47-AV49</f>
        <v>-961521</v>
      </c>
      <c r="AW51" s="214">
        <f t="shared" si="241"/>
        <v>1260529.92</v>
      </c>
      <c r="AX51" s="214">
        <f t="shared" ref="AX51:AY51" si="242">+AX47-AX49</f>
        <v>5073601</v>
      </c>
      <c r="AY51" s="214">
        <f t="shared" si="242"/>
        <v>-3465978</v>
      </c>
      <c r="AZ51" s="214">
        <f t="shared" ref="AZ51:BA51" si="243">+AZ47-AZ49</f>
        <v>-948325.13999999966</v>
      </c>
      <c r="BA51" s="214">
        <f t="shared" si="243"/>
        <v>-807534</v>
      </c>
      <c r="BB51" s="214">
        <f t="shared" ref="BB51:BG51" si="244">+BB47-BB49</f>
        <v>-231640</v>
      </c>
      <c r="BC51" s="214">
        <f t="shared" si="244"/>
        <v>35236168</v>
      </c>
      <c r="BD51" s="214">
        <f t="shared" si="244"/>
        <v>-3102433.2699999996</v>
      </c>
      <c r="BE51" s="214">
        <f t="shared" si="244"/>
        <v>-11553647.09</v>
      </c>
      <c r="BF51" s="214">
        <f t="shared" si="244"/>
        <v>-5009209.78</v>
      </c>
      <c r="BG51" s="214">
        <f t="shared" si="244"/>
        <v>-6522272</v>
      </c>
      <c r="BH51" s="195"/>
      <c r="BI51" s="214">
        <f>+BI47-BI49</f>
        <v>290436.49352005124</v>
      </c>
      <c r="BJ51" s="214" t="e">
        <f t="shared" ref="BJ51:BL51" si="245">+BJ47-BJ49</f>
        <v>#REF!</v>
      </c>
      <c r="BK51" s="214" t="e">
        <f t="shared" si="245"/>
        <v>#REF!</v>
      </c>
      <c r="BL51" s="214" t="e">
        <f t="shared" si="245"/>
        <v>#REF!</v>
      </c>
      <c r="BM51" s="214" t="e">
        <f t="shared" ref="BM51:BN51" si="246">+BM47-BM49</f>
        <v>#REF!</v>
      </c>
      <c r="BN51" s="214" t="e">
        <f t="shared" si="246"/>
        <v>#REF!</v>
      </c>
      <c r="BO51" s="214" t="e">
        <f t="shared" ref="BO51:BP51" si="247">+BO47-BO49</f>
        <v>#REF!</v>
      </c>
      <c r="BP51" s="214" t="e">
        <f t="shared" si="247"/>
        <v>#REF!</v>
      </c>
      <c r="BQ51" s="214" t="e">
        <f t="shared" ref="BQ51:BR51" si="248">+BQ47-BQ49</f>
        <v>#REF!</v>
      </c>
      <c r="BR51" s="214" t="e">
        <f t="shared" si="248"/>
        <v>#REF!</v>
      </c>
      <c r="BS51" s="214" t="e">
        <f t="shared" ref="BS51:BT51" si="249">+BS47-BS49</f>
        <v>#REF!</v>
      </c>
      <c r="BT51" s="214" t="e">
        <f t="shared" si="249"/>
        <v>#REF!</v>
      </c>
      <c r="BU51" s="214" t="e">
        <f t="shared" ref="BU51" si="250">+BU47-BU49</f>
        <v>#REF!</v>
      </c>
      <c r="BW51" s="214">
        <f>+BW47-BW49</f>
        <v>1066515</v>
      </c>
      <c r="BX51" s="214" t="e">
        <f t="shared" ref="BX51" si="251">+BX47-BX49</f>
        <v>#REF!</v>
      </c>
      <c r="BY51" s="214" t="e">
        <f t="shared" ref="BY51:CC51" si="252">+BY47-BY49</f>
        <v>#REF!</v>
      </c>
      <c r="BZ51" s="214" t="e">
        <f t="shared" ref="BZ51:CA51" si="253">+BZ47-BZ49</f>
        <v>#REF!</v>
      </c>
      <c r="CA51" s="214" t="e">
        <f t="shared" si="253"/>
        <v>#REF!</v>
      </c>
      <c r="CB51" s="214" t="e">
        <f t="shared" si="252"/>
        <v>#REF!</v>
      </c>
      <c r="CC51" s="214" t="e">
        <f t="shared" si="252"/>
        <v>#REF!</v>
      </c>
      <c r="CE51" s="214" t="e">
        <f>+CE47-CE49</f>
        <v>#REF!</v>
      </c>
      <c r="CF51" s="214" t="e">
        <f>+CF47-CF49</f>
        <v>#REF!</v>
      </c>
      <c r="CH51" s="214" t="e">
        <f>+CH47-CH49</f>
        <v>#REF!</v>
      </c>
    </row>
    <row r="52" spans="2:93" s="193" customFormat="1" ht="14.25" customHeight="1">
      <c r="C52" s="227"/>
      <c r="D52" s="228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8"/>
      <c r="S52" s="229"/>
      <c r="T52" s="229"/>
      <c r="U52" s="229"/>
      <c r="V52" s="229"/>
      <c r="W52" s="229"/>
      <c r="X52" s="229"/>
      <c r="Y52" s="229"/>
      <c r="Z52" s="229"/>
      <c r="AA52" s="229"/>
      <c r="AB52" s="229"/>
      <c r="AC52" s="229"/>
      <c r="AD52" s="229"/>
      <c r="AE52" s="229"/>
      <c r="AF52" s="228"/>
      <c r="AG52" s="229"/>
      <c r="AH52" s="229"/>
      <c r="AI52" s="229"/>
      <c r="AJ52" s="229"/>
      <c r="AK52" s="229"/>
      <c r="AL52" s="229"/>
      <c r="AM52" s="229"/>
      <c r="AN52" s="229"/>
      <c r="AO52" s="229"/>
      <c r="AP52" s="229"/>
      <c r="AQ52" s="229"/>
      <c r="AR52" s="229"/>
      <c r="AS52" s="229"/>
      <c r="AT52" s="228"/>
      <c r="AU52" s="228"/>
      <c r="AV52" s="229"/>
      <c r="AW52" s="229"/>
      <c r="AX52" s="229"/>
      <c r="AY52" s="229"/>
      <c r="AZ52" s="229"/>
      <c r="BA52" s="229"/>
      <c r="BB52" s="229"/>
      <c r="BC52" s="229"/>
      <c r="BD52" s="229"/>
      <c r="BE52" s="229"/>
      <c r="BF52" s="229"/>
      <c r="BG52" s="229"/>
      <c r="BH52" s="228"/>
      <c r="BI52" s="229"/>
      <c r="BJ52" s="229"/>
      <c r="BK52" s="229"/>
      <c r="BL52" s="229"/>
      <c r="BM52" s="229"/>
      <c r="BN52" s="229"/>
      <c r="BO52" s="229"/>
      <c r="BP52" s="229"/>
      <c r="BQ52" s="229"/>
      <c r="BR52" s="229"/>
      <c r="BS52" s="229"/>
      <c r="BT52" s="229"/>
      <c r="BU52" s="229"/>
      <c r="BV52" s="198"/>
      <c r="BW52" s="229"/>
      <c r="BX52" s="229"/>
      <c r="BY52" s="229"/>
      <c r="BZ52" s="229"/>
      <c r="CA52" s="229"/>
      <c r="CB52" s="229"/>
      <c r="CC52" s="229"/>
      <c r="CD52" s="228"/>
      <c r="CE52" s="229"/>
      <c r="CF52" s="229"/>
      <c r="CG52" s="228"/>
      <c r="CH52" s="229"/>
    </row>
    <row r="53" spans="2:93" s="193" customFormat="1">
      <c r="C53" s="227"/>
      <c r="D53" s="228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8"/>
      <c r="S53" s="229"/>
      <c r="T53" s="229"/>
      <c r="U53" s="229"/>
      <c r="V53" s="229"/>
      <c r="W53" s="229"/>
      <c r="X53" s="229"/>
      <c r="Y53" s="229"/>
      <c r="Z53" s="229"/>
      <c r="AA53" s="229"/>
      <c r="AB53" s="229"/>
      <c r="AC53" s="229"/>
      <c r="AD53" s="229"/>
      <c r="AE53" s="229"/>
      <c r="AF53" s="228"/>
      <c r="AG53" s="229"/>
      <c r="AH53" s="229"/>
      <c r="AI53" s="229"/>
      <c r="AJ53" s="229"/>
      <c r="AK53" s="229"/>
      <c r="AL53" s="229"/>
      <c r="AM53" s="229"/>
      <c r="AN53" s="229"/>
      <c r="AO53" s="229"/>
      <c r="AP53" s="229"/>
      <c r="AQ53" s="229"/>
      <c r="AR53" s="229"/>
      <c r="AS53" s="229"/>
      <c r="AT53" s="228"/>
      <c r="AU53" s="228"/>
      <c r="AV53" s="229"/>
      <c r="AW53" s="229"/>
      <c r="AX53" s="229"/>
      <c r="AY53" s="229"/>
      <c r="AZ53" s="229"/>
      <c r="BA53" s="229"/>
      <c r="BB53" s="229"/>
      <c r="BC53" s="229"/>
      <c r="BD53" s="229"/>
      <c r="BE53" s="229"/>
      <c r="BF53" s="229"/>
      <c r="BG53" s="229"/>
      <c r="BH53" s="228"/>
      <c r="BI53" s="229"/>
      <c r="BJ53" s="229"/>
      <c r="BK53" s="229"/>
      <c r="BL53" s="229"/>
      <c r="BM53" s="229"/>
      <c r="BN53" s="229"/>
      <c r="BO53" s="229"/>
      <c r="BP53" s="229"/>
      <c r="BQ53" s="229"/>
      <c r="BR53" s="229"/>
      <c r="BS53" s="229"/>
      <c r="BT53" s="229"/>
      <c r="BU53" s="229"/>
      <c r="BV53" s="198"/>
      <c r="BW53" s="229"/>
      <c r="BX53" s="229"/>
      <c r="BY53" s="229"/>
      <c r="BZ53" s="229"/>
      <c r="CA53" s="229"/>
      <c r="CB53" s="229"/>
      <c r="CC53" s="229"/>
      <c r="CD53" s="228"/>
      <c r="CE53" s="229"/>
      <c r="CF53" s="229"/>
      <c r="CG53" s="228"/>
      <c r="CH53" s="229"/>
    </row>
    <row r="54" spans="2:93" s="193" customFormat="1">
      <c r="C54" s="227"/>
      <c r="D54" s="228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8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29"/>
      <c r="AE54" s="229"/>
      <c r="AF54" s="228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  <c r="AS54" s="229"/>
      <c r="AT54" s="228"/>
      <c r="AU54" s="228"/>
      <c r="AV54" s="229"/>
      <c r="AW54" s="229"/>
      <c r="AX54" s="229"/>
      <c r="AY54" s="229"/>
      <c r="AZ54" s="229"/>
      <c r="BA54" s="229"/>
      <c r="BB54" s="229"/>
      <c r="BC54" s="229"/>
      <c r="BD54" s="229"/>
      <c r="BE54" s="229"/>
      <c r="BF54" s="229"/>
      <c r="BG54" s="229"/>
      <c r="BH54" s="228"/>
      <c r="BI54" s="229"/>
      <c r="BJ54" s="229"/>
      <c r="BK54" s="229"/>
      <c r="BL54" s="229"/>
      <c r="BM54" s="229"/>
      <c r="BN54" s="229"/>
      <c r="BO54" s="229"/>
      <c r="BP54" s="229"/>
      <c r="BQ54" s="229"/>
      <c r="BR54" s="229"/>
      <c r="BS54" s="229"/>
      <c r="BT54" s="229"/>
      <c r="BU54" s="229"/>
      <c r="BV54" s="198"/>
      <c r="BW54" s="229"/>
      <c r="BX54" s="229"/>
      <c r="BY54" s="229"/>
      <c r="BZ54" s="229"/>
      <c r="CA54" s="229"/>
      <c r="CB54" s="229"/>
      <c r="CC54" s="229"/>
      <c r="CD54" s="228"/>
      <c r="CE54" s="229"/>
      <c r="CF54" s="229"/>
      <c r="CG54" s="228"/>
      <c r="CH54" s="229"/>
    </row>
    <row r="55" spans="2:93" ht="12.75" hidden="1" customHeight="1">
      <c r="B55" s="230"/>
      <c r="C55" s="211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209"/>
      <c r="BG55" s="209"/>
      <c r="BH55" s="207"/>
      <c r="BI55" s="209"/>
      <c r="BJ55" s="209"/>
      <c r="BK55" s="209"/>
      <c r="BL55" s="209"/>
      <c r="BM55" s="209"/>
      <c r="BN55" s="209"/>
      <c r="BO55" s="209"/>
      <c r="BP55" s="209"/>
      <c r="BQ55" s="209"/>
      <c r="BR55" s="209"/>
      <c r="BS55" s="209"/>
      <c r="BT55" s="209"/>
      <c r="BU55" s="209"/>
      <c r="BW55" s="209"/>
      <c r="BX55" s="209"/>
      <c r="BY55" s="209"/>
      <c r="BZ55" s="209"/>
      <c r="CA55" s="209"/>
      <c r="CB55" s="209"/>
      <c r="CC55" s="209"/>
      <c r="CE55" s="209"/>
      <c r="CF55" s="201"/>
      <c r="CH55" s="201"/>
    </row>
    <row r="56" spans="2:93" ht="12.75" hidden="1" customHeight="1">
      <c r="B56" s="194" t="s">
        <v>155</v>
      </c>
      <c r="CF56" s="195"/>
      <c r="CH56" s="195"/>
    </row>
    <row r="57" spans="2:93" ht="12.75" hidden="1" customHeight="1">
      <c r="B57" s="194" t="str">
        <f>+ESF!B54</f>
        <v>Representante Legal</v>
      </c>
      <c r="C57" s="231"/>
    </row>
    <row r="58" spans="2:93" ht="12.75" hidden="1" customHeight="1">
      <c r="C58" s="231"/>
    </row>
    <row r="59" spans="2:93">
      <c r="C59" s="231"/>
    </row>
    <row r="60" spans="2:93"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  <c r="BP60" s="194"/>
      <c r="BQ60" s="194"/>
      <c r="BR60" s="194"/>
      <c r="BS60" s="194"/>
      <c r="BT60" s="194"/>
      <c r="BU60" s="194"/>
      <c r="BW60" s="194"/>
      <c r="BX60" s="194"/>
      <c r="BY60" s="194"/>
      <c r="BZ60" s="194"/>
      <c r="CA60" s="194"/>
      <c r="CB60" s="194"/>
      <c r="CC60" s="194"/>
      <c r="CD60" s="194"/>
      <c r="CE60" s="194"/>
      <c r="CF60" s="234"/>
      <c r="CG60" s="221"/>
      <c r="CH60" s="234"/>
    </row>
    <row r="61" spans="2:93">
      <c r="C61" s="211"/>
      <c r="D61" s="207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7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07"/>
      <c r="AG61" s="209"/>
      <c r="AH61" s="209"/>
      <c r="AI61" s="209"/>
      <c r="AJ61" s="209"/>
      <c r="AK61" s="209"/>
      <c r="AL61" s="209"/>
      <c r="AM61" s="209"/>
      <c r="AN61" s="209"/>
      <c r="AO61" s="209"/>
      <c r="AP61" s="209"/>
      <c r="AQ61" s="209"/>
      <c r="AR61" s="209"/>
      <c r="AS61" s="209"/>
      <c r="AT61" s="207"/>
      <c r="AU61" s="207"/>
      <c r="AV61" s="209"/>
      <c r="AW61" s="209"/>
      <c r="AX61" s="209"/>
      <c r="AY61" s="209"/>
      <c r="AZ61" s="209"/>
      <c r="BA61" s="209"/>
      <c r="BB61" s="209"/>
      <c r="BC61" s="209"/>
      <c r="BD61" s="209"/>
      <c r="BE61" s="209"/>
      <c r="BF61" s="209"/>
      <c r="BG61" s="209"/>
      <c r="BH61" s="207"/>
      <c r="BI61" s="209"/>
      <c r="BJ61" s="209"/>
      <c r="BK61" s="209"/>
      <c r="BL61" s="209"/>
      <c r="BM61" s="209"/>
      <c r="BN61" s="209"/>
      <c r="BO61" s="209"/>
      <c r="BP61" s="209"/>
      <c r="BQ61" s="209"/>
      <c r="BR61" s="209"/>
      <c r="BS61" s="209"/>
      <c r="BT61" s="209"/>
      <c r="BU61" s="209"/>
      <c r="BW61" s="209"/>
      <c r="BX61" s="209"/>
      <c r="BY61" s="209"/>
      <c r="BZ61" s="209"/>
      <c r="CA61" s="209"/>
      <c r="CB61" s="209"/>
      <c r="CC61" s="209"/>
      <c r="CD61" s="207"/>
      <c r="CE61" s="209"/>
      <c r="CF61" s="209"/>
      <c r="CG61" s="207"/>
      <c r="CH61" s="209"/>
    </row>
    <row r="62" spans="2:93">
      <c r="C62" s="232"/>
      <c r="D62" s="207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07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07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07"/>
      <c r="AU62" s="207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5"/>
      <c r="BI62" s="233"/>
      <c r="BJ62" s="233"/>
      <c r="BK62" s="233"/>
      <c r="BL62" s="233"/>
      <c r="BM62" s="233"/>
      <c r="BN62" s="233"/>
      <c r="BO62" s="233"/>
      <c r="BP62" s="233"/>
      <c r="BQ62" s="233"/>
      <c r="BR62" s="233"/>
      <c r="BS62" s="233"/>
      <c r="BT62" s="233"/>
      <c r="BU62" s="233"/>
      <c r="BW62" s="233"/>
      <c r="BX62" s="233"/>
      <c r="BY62" s="233"/>
      <c r="BZ62" s="233"/>
      <c r="CA62" s="233"/>
      <c r="CB62" s="233"/>
      <c r="CC62" s="233"/>
      <c r="CD62" s="207"/>
      <c r="CE62" s="233"/>
      <c r="CF62" s="233"/>
      <c r="CG62" s="207"/>
      <c r="CH62" s="233"/>
    </row>
    <row r="63" spans="2:93">
      <c r="C63" s="232"/>
      <c r="D63" s="207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07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07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07"/>
      <c r="AU63" s="207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5"/>
      <c r="BI63" s="233"/>
      <c r="BJ63" s="233"/>
      <c r="BK63" s="233"/>
      <c r="BL63" s="233"/>
      <c r="BM63" s="233"/>
      <c r="BN63" s="233"/>
      <c r="BO63" s="233"/>
      <c r="BP63" s="233"/>
      <c r="BQ63" s="233"/>
      <c r="BR63" s="233"/>
      <c r="BS63" s="233"/>
      <c r="BT63" s="233"/>
      <c r="BU63" s="233"/>
      <c r="BW63" s="233"/>
      <c r="BX63" s="233"/>
      <c r="BY63" s="233"/>
      <c r="BZ63" s="233"/>
      <c r="CA63" s="233"/>
      <c r="CB63" s="233"/>
      <c r="CC63" s="233"/>
      <c r="CD63" s="207"/>
      <c r="CE63" s="233"/>
      <c r="CF63" s="233"/>
      <c r="CG63" s="207"/>
      <c r="CH63" s="233"/>
    </row>
    <row r="64" spans="2:93">
      <c r="C64" s="232"/>
      <c r="D64" s="207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07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07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07"/>
      <c r="AU64" s="207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5"/>
      <c r="BI64" s="233"/>
      <c r="BJ64" s="233"/>
      <c r="BK64" s="233"/>
      <c r="BL64" s="233"/>
      <c r="BM64" s="233"/>
      <c r="BN64" s="233"/>
      <c r="BO64" s="233"/>
      <c r="BP64" s="233"/>
      <c r="BQ64" s="233"/>
      <c r="BR64" s="233"/>
      <c r="BS64" s="233"/>
      <c r="BT64" s="233"/>
      <c r="BU64" s="233"/>
      <c r="BW64" s="233"/>
      <c r="BX64" s="233"/>
      <c r="BY64" s="233"/>
      <c r="BZ64" s="233"/>
      <c r="CA64" s="233"/>
      <c r="CB64" s="233"/>
      <c r="CC64" s="233"/>
      <c r="CD64" s="207"/>
      <c r="CE64" s="233"/>
      <c r="CF64" s="233"/>
      <c r="CG64" s="207"/>
      <c r="CH64" s="233"/>
    </row>
    <row r="65" spans="3:86">
      <c r="C65" s="232"/>
      <c r="D65" s="207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07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07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07"/>
      <c r="AU65" s="207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5"/>
      <c r="BI65" s="233"/>
      <c r="BJ65" s="233"/>
      <c r="BK65" s="233"/>
      <c r="BL65" s="233"/>
      <c r="BM65" s="233"/>
      <c r="BN65" s="233"/>
      <c r="BO65" s="233"/>
      <c r="BP65" s="233"/>
      <c r="BQ65" s="233"/>
      <c r="BR65" s="233"/>
      <c r="BS65" s="233"/>
      <c r="BT65" s="233"/>
      <c r="BU65" s="233"/>
      <c r="BW65" s="233"/>
      <c r="BX65" s="233"/>
      <c r="BY65" s="233"/>
      <c r="BZ65" s="233"/>
      <c r="CA65" s="233"/>
      <c r="CB65" s="233"/>
      <c r="CC65" s="233"/>
      <c r="CD65" s="207"/>
      <c r="CE65" s="233"/>
      <c r="CF65" s="233"/>
      <c r="CG65" s="207"/>
      <c r="CH65" s="233"/>
    </row>
    <row r="66" spans="3:86">
      <c r="C66" s="232"/>
      <c r="D66" s="207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07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07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07"/>
      <c r="AU66" s="207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5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W66" s="233"/>
      <c r="BX66" s="233"/>
      <c r="BY66" s="233"/>
      <c r="BZ66" s="233"/>
      <c r="CA66" s="233"/>
      <c r="CB66" s="233"/>
      <c r="CC66" s="233"/>
      <c r="CD66" s="207"/>
      <c r="CE66" s="233"/>
      <c r="CF66" s="233"/>
      <c r="CG66" s="207"/>
      <c r="CH66" s="233"/>
    </row>
    <row r="67" spans="3:86">
      <c r="C67" s="232"/>
      <c r="D67" s="207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07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07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07"/>
      <c r="AU67" s="207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5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W67" s="233"/>
      <c r="BX67" s="233"/>
      <c r="BY67" s="233"/>
      <c r="BZ67" s="233"/>
      <c r="CA67" s="233"/>
      <c r="CB67" s="233"/>
      <c r="CC67" s="233"/>
      <c r="CD67" s="207"/>
      <c r="CE67" s="233"/>
      <c r="CF67" s="233"/>
      <c r="CG67" s="207"/>
      <c r="CH67" s="233"/>
    </row>
    <row r="68" spans="3:86">
      <c r="C68" s="232"/>
      <c r="D68" s="207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07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07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07"/>
      <c r="AU68" s="207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5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W68" s="233"/>
      <c r="BX68" s="233"/>
      <c r="BY68" s="233"/>
      <c r="BZ68" s="233"/>
      <c r="CA68" s="233"/>
      <c r="CB68" s="233"/>
      <c r="CC68" s="233"/>
      <c r="CD68" s="207"/>
      <c r="CE68" s="233"/>
      <c r="CF68" s="233"/>
      <c r="CG68" s="207"/>
      <c r="CH68" s="233"/>
    </row>
    <row r="69" spans="3:86">
      <c r="C69" s="232"/>
      <c r="D69" s="207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07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07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07"/>
      <c r="AU69" s="207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5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W69" s="233"/>
      <c r="BX69" s="233"/>
      <c r="BY69" s="233"/>
      <c r="BZ69" s="233"/>
      <c r="CA69" s="233"/>
      <c r="CB69" s="233"/>
      <c r="CC69" s="233"/>
      <c r="CD69" s="207"/>
      <c r="CE69" s="233"/>
      <c r="CF69" s="233"/>
      <c r="CG69" s="207"/>
      <c r="CH69" s="233"/>
    </row>
    <row r="70" spans="3:86">
      <c r="C70" s="232"/>
      <c r="D70" s="207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07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07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07"/>
      <c r="AU70" s="207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5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W70" s="233"/>
      <c r="BX70" s="233"/>
      <c r="BY70" s="233"/>
      <c r="BZ70" s="233"/>
      <c r="CA70" s="233"/>
      <c r="CB70" s="233"/>
      <c r="CC70" s="233"/>
      <c r="CD70" s="207"/>
      <c r="CE70" s="233"/>
      <c r="CF70" s="233"/>
      <c r="CG70" s="207"/>
      <c r="CH70" s="233"/>
    </row>
    <row r="71" spans="3:86">
      <c r="C71" s="232"/>
      <c r="D71" s="207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07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07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07"/>
      <c r="AU71" s="207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5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W71" s="233"/>
      <c r="BX71" s="233"/>
      <c r="BY71" s="233"/>
      <c r="BZ71" s="233"/>
      <c r="CA71" s="233"/>
      <c r="CB71" s="233"/>
      <c r="CC71" s="233"/>
      <c r="CD71" s="207"/>
      <c r="CE71" s="233"/>
      <c r="CF71" s="233"/>
      <c r="CG71" s="207"/>
      <c r="CH71" s="233"/>
    </row>
    <row r="72" spans="3:86">
      <c r="C72" s="232"/>
      <c r="D72" s="207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07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07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07"/>
      <c r="AU72" s="207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5"/>
      <c r="BI72" s="233"/>
      <c r="BJ72" s="233"/>
      <c r="BK72" s="233"/>
      <c r="BL72" s="233"/>
      <c r="BM72" s="233"/>
      <c r="BN72" s="233"/>
      <c r="BO72" s="233"/>
      <c r="BP72" s="233"/>
      <c r="BQ72" s="233"/>
      <c r="BR72" s="233"/>
      <c r="BS72" s="233"/>
      <c r="BT72" s="233"/>
      <c r="BU72" s="233"/>
      <c r="BW72" s="233"/>
      <c r="BX72" s="233"/>
      <c r="BY72" s="233"/>
      <c r="BZ72" s="233"/>
      <c r="CA72" s="233"/>
      <c r="CB72" s="233"/>
      <c r="CC72" s="233"/>
      <c r="CD72" s="207"/>
      <c r="CE72" s="233"/>
      <c r="CF72" s="233"/>
      <c r="CG72" s="207"/>
      <c r="CH72" s="233"/>
    </row>
    <row r="73" spans="3:86">
      <c r="C73" s="232"/>
      <c r="D73" s="207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07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07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07"/>
      <c r="AU73" s="207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5"/>
      <c r="BI73" s="233"/>
      <c r="BJ73" s="233"/>
      <c r="BK73" s="233"/>
      <c r="BL73" s="233"/>
      <c r="BM73" s="233"/>
      <c r="BN73" s="233"/>
      <c r="BO73" s="233"/>
      <c r="BP73" s="233"/>
      <c r="BQ73" s="233"/>
      <c r="BR73" s="233"/>
      <c r="BS73" s="233"/>
      <c r="BT73" s="233"/>
      <c r="BU73" s="233"/>
      <c r="BW73" s="233"/>
      <c r="BX73" s="233"/>
      <c r="BY73" s="233"/>
      <c r="BZ73" s="233"/>
      <c r="CA73" s="233"/>
      <c r="CB73" s="233"/>
      <c r="CC73" s="233"/>
      <c r="CD73" s="207"/>
      <c r="CE73" s="233"/>
      <c r="CF73" s="233"/>
      <c r="CG73" s="207"/>
      <c r="CH73" s="233"/>
    </row>
    <row r="74" spans="3:86">
      <c r="C74" s="232"/>
      <c r="D74" s="207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07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07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07"/>
      <c r="AU74" s="207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5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3"/>
      <c r="BT74" s="233"/>
      <c r="BU74" s="233"/>
      <c r="BW74" s="233"/>
      <c r="BX74" s="233"/>
      <c r="BY74" s="233"/>
      <c r="BZ74" s="233"/>
      <c r="CA74" s="233"/>
      <c r="CB74" s="233"/>
      <c r="CC74" s="233"/>
      <c r="CD74" s="207"/>
      <c r="CE74" s="233"/>
      <c r="CF74" s="233"/>
      <c r="CG74" s="207"/>
      <c r="CH74" s="233"/>
    </row>
    <row r="75" spans="3:86">
      <c r="C75" s="232"/>
      <c r="D75" s="207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07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07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07"/>
      <c r="AU75" s="207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5"/>
      <c r="BI75" s="233"/>
      <c r="BJ75" s="233"/>
      <c r="BK75" s="233"/>
      <c r="BL75" s="233"/>
      <c r="BM75" s="233"/>
      <c r="BN75" s="233"/>
      <c r="BO75" s="233"/>
      <c r="BP75" s="233"/>
      <c r="BQ75" s="233"/>
      <c r="BR75" s="233"/>
      <c r="BS75" s="233"/>
      <c r="BT75" s="233"/>
      <c r="BU75" s="233"/>
      <c r="BW75" s="233"/>
      <c r="BX75" s="233"/>
      <c r="BY75" s="233"/>
      <c r="BZ75" s="233"/>
      <c r="CA75" s="233"/>
      <c r="CB75" s="233"/>
      <c r="CC75" s="233"/>
      <c r="CD75" s="207"/>
      <c r="CE75" s="233"/>
      <c r="CF75" s="233"/>
      <c r="CG75" s="207"/>
      <c r="CH75" s="233"/>
    </row>
    <row r="76" spans="3:86">
      <c r="C76" s="232"/>
      <c r="D76" s="207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07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07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07"/>
      <c r="AU76" s="207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5"/>
      <c r="BI76" s="233"/>
      <c r="BJ76" s="233"/>
      <c r="BK76" s="233"/>
      <c r="BL76" s="233"/>
      <c r="BM76" s="233"/>
      <c r="BN76" s="233"/>
      <c r="BO76" s="233"/>
      <c r="BP76" s="233"/>
      <c r="BQ76" s="233"/>
      <c r="BR76" s="233"/>
      <c r="BS76" s="233"/>
      <c r="BT76" s="233"/>
      <c r="BU76" s="233"/>
      <c r="BW76" s="233"/>
      <c r="BX76" s="233"/>
      <c r="BY76" s="233"/>
      <c r="BZ76" s="233"/>
      <c r="CA76" s="233"/>
      <c r="CB76" s="233"/>
      <c r="CC76" s="233"/>
      <c r="CD76" s="207"/>
      <c r="CE76" s="233"/>
      <c r="CF76" s="233"/>
      <c r="CG76" s="207"/>
      <c r="CH76" s="233"/>
    </row>
    <row r="77" spans="3:86">
      <c r="C77" s="232"/>
      <c r="D77" s="207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07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07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07"/>
      <c r="AU77" s="207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5"/>
      <c r="BI77" s="233"/>
      <c r="BJ77" s="233"/>
      <c r="BK77" s="233"/>
      <c r="BL77" s="233"/>
      <c r="BM77" s="233"/>
      <c r="BN77" s="233"/>
      <c r="BO77" s="233"/>
      <c r="BP77" s="233"/>
      <c r="BQ77" s="233"/>
      <c r="BR77" s="233"/>
      <c r="BS77" s="233"/>
      <c r="BT77" s="233"/>
      <c r="BU77" s="233"/>
      <c r="BW77" s="233"/>
      <c r="BX77" s="233"/>
      <c r="BY77" s="233"/>
      <c r="BZ77" s="233"/>
      <c r="CA77" s="233"/>
      <c r="CB77" s="233"/>
      <c r="CC77" s="233"/>
      <c r="CD77" s="207"/>
      <c r="CE77" s="233"/>
      <c r="CF77" s="233"/>
      <c r="CG77" s="207"/>
      <c r="CH77" s="233"/>
    </row>
    <row r="78" spans="3:86">
      <c r="C78" s="232"/>
      <c r="D78" s="207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07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07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07"/>
      <c r="AU78" s="207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5"/>
      <c r="BI78" s="233"/>
      <c r="BJ78" s="233"/>
      <c r="BK78" s="233"/>
      <c r="BL78" s="233"/>
      <c r="BM78" s="233"/>
      <c r="BN78" s="233"/>
      <c r="BO78" s="233"/>
      <c r="BP78" s="233"/>
      <c r="BQ78" s="233"/>
      <c r="BR78" s="233"/>
      <c r="BS78" s="233"/>
      <c r="BT78" s="233"/>
      <c r="BU78" s="233"/>
      <c r="BW78" s="233"/>
      <c r="BX78" s="233"/>
      <c r="BY78" s="233"/>
      <c r="BZ78" s="233"/>
      <c r="CA78" s="233"/>
      <c r="CB78" s="233"/>
      <c r="CC78" s="233"/>
      <c r="CD78" s="207"/>
      <c r="CE78" s="233"/>
      <c r="CF78" s="233"/>
      <c r="CG78" s="207"/>
      <c r="CH78" s="233"/>
    </row>
    <row r="79" spans="3:86">
      <c r="C79" s="232"/>
      <c r="D79" s="207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07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07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07"/>
      <c r="AU79" s="207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5"/>
      <c r="BI79" s="233"/>
      <c r="BJ79" s="233"/>
      <c r="BK79" s="233"/>
      <c r="BL79" s="233"/>
      <c r="BM79" s="233"/>
      <c r="BN79" s="233"/>
      <c r="BO79" s="233"/>
      <c r="BP79" s="233"/>
      <c r="BQ79" s="233"/>
      <c r="BR79" s="233"/>
      <c r="BS79" s="233"/>
      <c r="BT79" s="233"/>
      <c r="BU79" s="233"/>
      <c r="BW79" s="233"/>
      <c r="BX79" s="233"/>
      <c r="BY79" s="233"/>
      <c r="BZ79" s="233"/>
      <c r="CA79" s="233"/>
      <c r="CB79" s="233"/>
      <c r="CC79" s="233"/>
      <c r="CD79" s="207"/>
      <c r="CE79" s="233"/>
      <c r="CF79" s="233"/>
      <c r="CG79" s="207"/>
      <c r="CH79" s="233"/>
    </row>
    <row r="80" spans="3:86">
      <c r="C80" s="232"/>
      <c r="D80" s="207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07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07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07"/>
      <c r="AU80" s="207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5"/>
      <c r="BI80" s="233"/>
      <c r="BJ80" s="233"/>
      <c r="BK80" s="233"/>
      <c r="BL80" s="233"/>
      <c r="BM80" s="233"/>
      <c r="BN80" s="233"/>
      <c r="BO80" s="233"/>
      <c r="BP80" s="233"/>
      <c r="BQ80" s="233"/>
      <c r="BR80" s="233"/>
      <c r="BS80" s="233"/>
      <c r="BT80" s="233"/>
      <c r="BU80" s="233"/>
      <c r="BW80" s="233"/>
      <c r="BX80" s="233"/>
      <c r="BY80" s="233"/>
      <c r="BZ80" s="233"/>
      <c r="CA80" s="233"/>
      <c r="CB80" s="233"/>
      <c r="CC80" s="233"/>
      <c r="CD80" s="207"/>
      <c r="CE80" s="233"/>
      <c r="CF80" s="233"/>
      <c r="CG80" s="207"/>
      <c r="CH80" s="233"/>
    </row>
    <row r="81" spans="3:86">
      <c r="C81" s="232"/>
      <c r="D81" s="207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07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07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  <c r="AR81" s="233"/>
      <c r="AS81" s="233"/>
      <c r="AT81" s="207"/>
      <c r="AU81" s="207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5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W81" s="233"/>
      <c r="BX81" s="233"/>
      <c r="BY81" s="233"/>
      <c r="BZ81" s="233"/>
      <c r="CA81" s="233"/>
      <c r="CB81" s="233"/>
      <c r="CC81" s="233"/>
      <c r="CD81" s="207"/>
      <c r="CE81" s="233"/>
      <c r="CF81" s="233"/>
      <c r="CG81" s="207"/>
      <c r="CH81" s="233"/>
    </row>
    <row r="82" spans="3:86">
      <c r="C82" s="232"/>
      <c r="D82" s="207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07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07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07"/>
      <c r="AU82" s="207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5"/>
      <c r="BI82" s="233"/>
      <c r="BJ82" s="233"/>
      <c r="BK82" s="233"/>
      <c r="BL82" s="233"/>
      <c r="BM82" s="233"/>
      <c r="BN82" s="233"/>
      <c r="BO82" s="233"/>
      <c r="BP82" s="233"/>
      <c r="BQ82" s="233"/>
      <c r="BR82" s="233"/>
      <c r="BS82" s="233"/>
      <c r="BT82" s="233"/>
      <c r="BU82" s="233"/>
      <c r="BW82" s="233"/>
      <c r="BX82" s="233"/>
      <c r="BY82" s="233"/>
      <c r="BZ82" s="233"/>
      <c r="CA82" s="233"/>
      <c r="CB82" s="233"/>
      <c r="CC82" s="233"/>
      <c r="CD82" s="207"/>
      <c r="CE82" s="233"/>
      <c r="CF82" s="233"/>
      <c r="CG82" s="207"/>
      <c r="CH82" s="233"/>
    </row>
    <row r="83" spans="3:86">
      <c r="C83" s="232"/>
      <c r="D83" s="207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07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07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07"/>
      <c r="AU83" s="207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5"/>
      <c r="BI83" s="233"/>
      <c r="BJ83" s="233"/>
      <c r="BK83" s="233"/>
      <c r="BL83" s="233"/>
      <c r="BM83" s="233"/>
      <c r="BN83" s="233"/>
      <c r="BO83" s="233"/>
      <c r="BP83" s="233"/>
      <c r="BQ83" s="233"/>
      <c r="BR83" s="233"/>
      <c r="BS83" s="233"/>
      <c r="BT83" s="233"/>
      <c r="BU83" s="233"/>
      <c r="BW83" s="233"/>
      <c r="BX83" s="233"/>
      <c r="BY83" s="233"/>
      <c r="BZ83" s="233"/>
      <c r="CA83" s="233"/>
      <c r="CB83" s="233"/>
      <c r="CC83" s="233"/>
      <c r="CD83" s="207"/>
      <c r="CE83" s="233"/>
      <c r="CF83" s="233"/>
      <c r="CG83" s="207"/>
      <c r="CH83" s="233"/>
    </row>
    <row r="84" spans="3:86">
      <c r="C84" s="232"/>
      <c r="D84" s="207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07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07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07"/>
      <c r="AU84" s="207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5"/>
      <c r="BI84" s="233"/>
      <c r="BJ84" s="233"/>
      <c r="BK84" s="233"/>
      <c r="BL84" s="233"/>
      <c r="BM84" s="233"/>
      <c r="BN84" s="233"/>
      <c r="BO84" s="233"/>
      <c r="BP84" s="233"/>
      <c r="BQ84" s="233"/>
      <c r="BR84" s="233"/>
      <c r="BS84" s="233"/>
      <c r="BT84" s="233"/>
      <c r="BU84" s="233"/>
      <c r="BW84" s="233"/>
      <c r="BX84" s="233"/>
      <c r="BY84" s="233"/>
      <c r="BZ84" s="233"/>
      <c r="CA84" s="233"/>
      <c r="CB84" s="233"/>
      <c r="CC84" s="233"/>
      <c r="CD84" s="207"/>
      <c r="CE84" s="233"/>
      <c r="CF84" s="233"/>
      <c r="CG84" s="207"/>
      <c r="CH84" s="233"/>
    </row>
    <row r="85" spans="3:86">
      <c r="C85" s="232"/>
      <c r="D85" s="207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07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07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07"/>
      <c r="AU85" s="207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5"/>
      <c r="BI85" s="233"/>
      <c r="BJ85" s="233"/>
      <c r="BK85" s="233"/>
      <c r="BL85" s="233"/>
      <c r="BM85" s="233"/>
      <c r="BN85" s="233"/>
      <c r="BO85" s="233"/>
      <c r="BP85" s="233"/>
      <c r="BQ85" s="233"/>
      <c r="BR85" s="233"/>
      <c r="BS85" s="233"/>
      <c r="BT85" s="233"/>
      <c r="BU85" s="233"/>
      <c r="BW85" s="233"/>
      <c r="BX85" s="233"/>
      <c r="BY85" s="233"/>
      <c r="BZ85" s="233"/>
      <c r="CA85" s="233"/>
      <c r="CB85" s="233"/>
      <c r="CC85" s="233"/>
      <c r="CD85" s="207"/>
      <c r="CE85" s="233"/>
      <c r="CF85" s="233"/>
      <c r="CG85" s="207"/>
      <c r="CH85" s="233"/>
    </row>
    <row r="86" spans="3:86">
      <c r="C86" s="232"/>
      <c r="D86" s="207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07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07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07"/>
      <c r="AU86" s="207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5"/>
      <c r="BI86" s="233"/>
      <c r="BJ86" s="233"/>
      <c r="BK86" s="233"/>
      <c r="BL86" s="233"/>
      <c r="BM86" s="233"/>
      <c r="BN86" s="233"/>
      <c r="BO86" s="233"/>
      <c r="BP86" s="233"/>
      <c r="BQ86" s="233"/>
      <c r="BR86" s="233"/>
      <c r="BS86" s="233"/>
      <c r="BT86" s="233"/>
      <c r="BU86" s="233"/>
      <c r="BW86" s="233"/>
      <c r="BX86" s="233"/>
      <c r="BY86" s="233"/>
      <c r="BZ86" s="233"/>
      <c r="CA86" s="233"/>
      <c r="CB86" s="233"/>
      <c r="CC86" s="233"/>
      <c r="CD86" s="207"/>
      <c r="CE86" s="233"/>
      <c r="CF86" s="233"/>
      <c r="CG86" s="207"/>
      <c r="CH86" s="233"/>
    </row>
    <row r="87" spans="3:86">
      <c r="C87" s="232"/>
      <c r="D87" s="207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07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07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07"/>
      <c r="AU87" s="207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33"/>
      <c r="BH87" s="235"/>
      <c r="BI87" s="233"/>
      <c r="BJ87" s="233"/>
      <c r="BK87" s="233"/>
      <c r="BL87" s="233"/>
      <c r="BM87" s="233"/>
      <c r="BN87" s="233"/>
      <c r="BO87" s="233"/>
      <c r="BP87" s="233"/>
      <c r="BQ87" s="233"/>
      <c r="BR87" s="233"/>
      <c r="BS87" s="233"/>
      <c r="BT87" s="233"/>
      <c r="BU87" s="233"/>
      <c r="BW87" s="233"/>
      <c r="BX87" s="233"/>
      <c r="BY87" s="233"/>
      <c r="BZ87" s="233"/>
      <c r="CA87" s="233"/>
      <c r="CB87" s="233"/>
      <c r="CC87" s="233"/>
      <c r="CD87" s="207"/>
      <c r="CE87" s="233"/>
      <c r="CF87" s="233"/>
      <c r="CG87" s="207"/>
      <c r="CH87" s="233"/>
    </row>
    <row r="88" spans="3:86">
      <c r="C88" s="232"/>
      <c r="D88" s="207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07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07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07"/>
      <c r="AU88" s="207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33"/>
      <c r="BH88" s="235"/>
      <c r="BI88" s="233"/>
      <c r="BJ88" s="233"/>
      <c r="BK88" s="233"/>
      <c r="BL88" s="233"/>
      <c r="BM88" s="233"/>
      <c r="BN88" s="233"/>
      <c r="BO88" s="233"/>
      <c r="BP88" s="233"/>
      <c r="BQ88" s="233"/>
      <c r="BR88" s="233"/>
      <c r="BS88" s="233"/>
      <c r="BT88" s="233"/>
      <c r="BU88" s="233"/>
      <c r="BW88" s="233"/>
      <c r="BX88" s="233"/>
      <c r="BY88" s="233"/>
      <c r="BZ88" s="233"/>
      <c r="CA88" s="233"/>
      <c r="CB88" s="233"/>
      <c r="CC88" s="233"/>
      <c r="CD88" s="207"/>
      <c r="CE88" s="233"/>
      <c r="CF88" s="233"/>
      <c r="CG88" s="207"/>
      <c r="CH88" s="233"/>
    </row>
    <row r="89" spans="3:86">
      <c r="C89" s="232"/>
      <c r="D89" s="207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07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207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07"/>
      <c r="AU89" s="207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33"/>
      <c r="BH89" s="235"/>
      <c r="BI89" s="233"/>
      <c r="BJ89" s="233"/>
      <c r="BK89" s="233"/>
      <c r="BL89" s="233"/>
      <c r="BM89" s="233"/>
      <c r="BN89" s="233"/>
      <c r="BO89" s="233"/>
      <c r="BP89" s="233"/>
      <c r="BQ89" s="233"/>
      <c r="BR89" s="233"/>
      <c r="BS89" s="233"/>
      <c r="BT89" s="233"/>
      <c r="BU89" s="233"/>
      <c r="BW89" s="233"/>
      <c r="BX89" s="233"/>
      <c r="BY89" s="233"/>
      <c r="BZ89" s="233"/>
      <c r="CA89" s="233"/>
      <c r="CB89" s="233"/>
      <c r="CC89" s="233"/>
      <c r="CD89" s="207"/>
      <c r="CE89" s="233"/>
      <c r="CF89" s="233"/>
      <c r="CG89" s="207"/>
      <c r="CH89" s="233"/>
    </row>
    <row r="90" spans="3:86">
      <c r="C90" s="232"/>
      <c r="D90" s="207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07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207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07"/>
      <c r="AU90" s="207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33"/>
      <c r="BH90" s="235"/>
      <c r="BI90" s="233"/>
      <c r="BJ90" s="233"/>
      <c r="BK90" s="233"/>
      <c r="BL90" s="233"/>
      <c r="BM90" s="233"/>
      <c r="BN90" s="233"/>
      <c r="BO90" s="233"/>
      <c r="BP90" s="233"/>
      <c r="BQ90" s="233"/>
      <c r="BR90" s="233"/>
      <c r="BS90" s="233"/>
      <c r="BT90" s="233"/>
      <c r="BU90" s="233"/>
      <c r="BW90" s="233"/>
      <c r="BX90" s="233"/>
      <c r="BY90" s="233"/>
      <c r="BZ90" s="233"/>
      <c r="CA90" s="233"/>
      <c r="CB90" s="233"/>
      <c r="CC90" s="233"/>
      <c r="CD90" s="207"/>
      <c r="CE90" s="233"/>
      <c r="CF90" s="233"/>
      <c r="CG90" s="207"/>
      <c r="CH90" s="233"/>
    </row>
    <row r="91" spans="3:86">
      <c r="C91" s="232"/>
      <c r="D91" s="207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07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207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07"/>
      <c r="AU91" s="207"/>
      <c r="AV91" s="233"/>
      <c r="AW91" s="233"/>
      <c r="AX91" s="233"/>
      <c r="AY91" s="233"/>
      <c r="AZ91" s="233"/>
      <c r="BA91" s="233"/>
      <c r="BB91" s="233"/>
      <c r="BC91" s="233"/>
      <c r="BD91" s="233"/>
      <c r="BE91" s="233"/>
      <c r="BF91" s="233"/>
      <c r="BG91" s="233"/>
      <c r="BH91" s="235"/>
      <c r="BI91" s="233"/>
      <c r="BJ91" s="233"/>
      <c r="BK91" s="233"/>
      <c r="BL91" s="233"/>
      <c r="BM91" s="233"/>
      <c r="BN91" s="233"/>
      <c r="BO91" s="233"/>
      <c r="BP91" s="233"/>
      <c r="BQ91" s="233"/>
      <c r="BR91" s="233"/>
      <c r="BS91" s="233"/>
      <c r="BT91" s="233"/>
      <c r="BU91" s="233"/>
      <c r="BW91" s="233"/>
      <c r="BX91" s="233"/>
      <c r="BY91" s="233"/>
      <c r="BZ91" s="233"/>
      <c r="CA91" s="233"/>
      <c r="CB91" s="233"/>
      <c r="CC91" s="233"/>
      <c r="CD91" s="207"/>
      <c r="CE91" s="233"/>
      <c r="CF91" s="233"/>
      <c r="CG91" s="207"/>
      <c r="CH91" s="233"/>
    </row>
    <row r="92" spans="3:86">
      <c r="C92" s="232"/>
      <c r="D92" s="207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07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07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07"/>
      <c r="AU92" s="207"/>
      <c r="AV92" s="233"/>
      <c r="AW92" s="233"/>
      <c r="AX92" s="233"/>
      <c r="AY92" s="233"/>
      <c r="AZ92" s="233"/>
      <c r="BA92" s="233"/>
      <c r="BB92" s="233"/>
      <c r="BC92" s="233"/>
      <c r="BD92" s="233"/>
      <c r="BE92" s="233"/>
      <c r="BF92" s="233"/>
      <c r="BG92" s="233"/>
      <c r="BH92" s="235"/>
      <c r="BI92" s="233"/>
      <c r="BJ92" s="233"/>
      <c r="BK92" s="233"/>
      <c r="BL92" s="233"/>
      <c r="BM92" s="233"/>
      <c r="BN92" s="233"/>
      <c r="BO92" s="233"/>
      <c r="BP92" s="233"/>
      <c r="BQ92" s="233"/>
      <c r="BR92" s="233"/>
      <c r="BS92" s="233"/>
      <c r="BT92" s="233"/>
      <c r="BU92" s="233"/>
      <c r="BW92" s="233"/>
      <c r="BX92" s="233"/>
      <c r="BY92" s="233"/>
      <c r="BZ92" s="233"/>
      <c r="CA92" s="233"/>
      <c r="CB92" s="233"/>
      <c r="CC92" s="233"/>
      <c r="CD92" s="207"/>
      <c r="CE92" s="233"/>
      <c r="CF92" s="233"/>
      <c r="CG92" s="207"/>
      <c r="CH92" s="233"/>
    </row>
    <row r="93" spans="3:86">
      <c r="C93" s="232"/>
      <c r="D93" s="207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07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207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07"/>
      <c r="AU93" s="207"/>
      <c r="AV93" s="233"/>
      <c r="AW93" s="233"/>
      <c r="AX93" s="233"/>
      <c r="AY93" s="233"/>
      <c r="AZ93" s="233"/>
      <c r="BA93" s="233"/>
      <c r="BB93" s="233"/>
      <c r="BC93" s="233"/>
      <c r="BD93" s="233"/>
      <c r="BE93" s="233"/>
      <c r="BF93" s="233"/>
      <c r="BG93" s="233"/>
      <c r="BH93" s="235"/>
      <c r="BI93" s="233"/>
      <c r="BJ93" s="233"/>
      <c r="BK93" s="233"/>
      <c r="BL93" s="233"/>
      <c r="BM93" s="233"/>
      <c r="BN93" s="233"/>
      <c r="BO93" s="233"/>
      <c r="BP93" s="233"/>
      <c r="BQ93" s="233"/>
      <c r="BR93" s="233"/>
      <c r="BS93" s="233"/>
      <c r="BT93" s="233"/>
      <c r="BU93" s="233"/>
      <c r="BW93" s="233"/>
      <c r="BX93" s="233"/>
      <c r="BY93" s="233"/>
      <c r="BZ93" s="233"/>
      <c r="CA93" s="233"/>
      <c r="CB93" s="233"/>
      <c r="CC93" s="233"/>
      <c r="CD93" s="207"/>
      <c r="CE93" s="233"/>
      <c r="CF93" s="233"/>
      <c r="CG93" s="207"/>
      <c r="CH93" s="233"/>
    </row>
    <row r="94" spans="3:86">
      <c r="C94" s="232"/>
      <c r="D94" s="207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07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07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07"/>
      <c r="AU94" s="207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5"/>
      <c r="BI94" s="233"/>
      <c r="BJ94" s="233"/>
      <c r="BK94" s="233"/>
      <c r="BL94" s="233"/>
      <c r="BM94" s="233"/>
      <c r="BN94" s="233"/>
      <c r="BO94" s="233"/>
      <c r="BP94" s="233"/>
      <c r="BQ94" s="233"/>
      <c r="BR94" s="233"/>
      <c r="BS94" s="233"/>
      <c r="BT94" s="233"/>
      <c r="BU94" s="233"/>
      <c r="BW94" s="233"/>
      <c r="BX94" s="233"/>
      <c r="BY94" s="233"/>
      <c r="BZ94" s="233"/>
      <c r="CA94" s="233"/>
      <c r="CB94" s="233"/>
      <c r="CC94" s="233"/>
      <c r="CD94" s="207"/>
      <c r="CE94" s="233"/>
      <c r="CF94" s="233"/>
      <c r="CG94" s="207"/>
      <c r="CH94" s="233"/>
    </row>
    <row r="95" spans="3:86">
      <c r="C95" s="232"/>
      <c r="D95" s="207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07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07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07"/>
      <c r="AU95" s="207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5"/>
      <c r="BI95" s="233"/>
      <c r="BJ95" s="233"/>
      <c r="BK95" s="233"/>
      <c r="BL95" s="233"/>
      <c r="BM95" s="233"/>
      <c r="BN95" s="233"/>
      <c r="BO95" s="233"/>
      <c r="BP95" s="233"/>
      <c r="BQ95" s="233"/>
      <c r="BR95" s="233"/>
      <c r="BS95" s="233"/>
      <c r="BT95" s="233"/>
      <c r="BU95" s="233"/>
      <c r="BW95" s="233"/>
      <c r="BX95" s="233"/>
      <c r="BY95" s="233"/>
      <c r="BZ95" s="233"/>
      <c r="CA95" s="233"/>
      <c r="CB95" s="233"/>
      <c r="CC95" s="233"/>
      <c r="CD95" s="207"/>
      <c r="CE95" s="233"/>
      <c r="CF95" s="233"/>
      <c r="CG95" s="207"/>
      <c r="CH95" s="233"/>
    </row>
    <row r="96" spans="3:86">
      <c r="C96" s="232"/>
      <c r="D96" s="207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07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07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07"/>
      <c r="AU96" s="207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5"/>
      <c r="BI96" s="233"/>
      <c r="BJ96" s="233"/>
      <c r="BK96" s="233"/>
      <c r="BL96" s="233"/>
      <c r="BM96" s="233"/>
      <c r="BN96" s="233"/>
      <c r="BO96" s="233"/>
      <c r="BP96" s="233"/>
      <c r="BQ96" s="233"/>
      <c r="BR96" s="233"/>
      <c r="BS96" s="233"/>
      <c r="BT96" s="233"/>
      <c r="BU96" s="233"/>
      <c r="BW96" s="233"/>
      <c r="BX96" s="233"/>
      <c r="BY96" s="233"/>
      <c r="BZ96" s="233"/>
      <c r="CA96" s="233"/>
      <c r="CB96" s="233"/>
      <c r="CC96" s="233"/>
      <c r="CD96" s="207"/>
      <c r="CE96" s="233"/>
      <c r="CF96" s="233"/>
      <c r="CG96" s="207"/>
      <c r="CH96" s="233"/>
    </row>
    <row r="97" spans="3:3">
      <c r="C97" s="234"/>
    </row>
    <row r="98" spans="3:3">
      <c r="C98" s="234"/>
    </row>
    <row r="99" spans="3:3">
      <c r="C99" s="234"/>
    </row>
    <row r="100" spans="3:3">
      <c r="C100" s="234"/>
    </row>
    <row r="101" spans="3:3">
      <c r="C101" s="234"/>
    </row>
    <row r="102" spans="3:3">
      <c r="C102" s="234"/>
    </row>
    <row r="103" spans="3:3">
      <c r="C103" s="234"/>
    </row>
    <row r="104" spans="3:3">
      <c r="C104" s="234"/>
    </row>
    <row r="105" spans="3:3">
      <c r="C105" s="234"/>
    </row>
    <row r="106" spans="3:3">
      <c r="C106" s="234"/>
    </row>
    <row r="107" spans="3:3">
      <c r="C107" s="234"/>
    </row>
    <row r="108" spans="3:3">
      <c r="C108" s="234"/>
    </row>
    <row r="109" spans="3:3">
      <c r="C109" s="234"/>
    </row>
    <row r="110" spans="3:3">
      <c r="C110" s="234"/>
    </row>
    <row r="111" spans="3:3">
      <c r="C111" s="234"/>
    </row>
    <row r="112" spans="3:3">
      <c r="C112" s="234"/>
    </row>
    <row r="113" spans="3:3">
      <c r="C113" s="234"/>
    </row>
    <row r="114" spans="3:3">
      <c r="C114" s="234"/>
    </row>
    <row r="115" spans="3:3">
      <c r="C115" s="234"/>
    </row>
    <row r="116" spans="3:3">
      <c r="C116" s="234"/>
    </row>
    <row r="117" spans="3:3">
      <c r="C117" s="234"/>
    </row>
    <row r="118" spans="3:3">
      <c r="C118" s="234"/>
    </row>
    <row r="119" spans="3:3">
      <c r="C119" s="234"/>
    </row>
    <row r="120" spans="3:3">
      <c r="C120" s="234"/>
    </row>
    <row r="121" spans="3:3">
      <c r="C121" s="234"/>
    </row>
    <row r="122" spans="3:3">
      <c r="C122" s="234"/>
    </row>
    <row r="123" spans="3:3">
      <c r="C123" s="234"/>
    </row>
    <row r="124" spans="3:3">
      <c r="C124" s="234"/>
    </row>
    <row r="125" spans="3:3">
      <c r="C125" s="234"/>
    </row>
    <row r="126" spans="3:3">
      <c r="C126" s="234"/>
    </row>
    <row r="127" spans="3:3">
      <c r="C127" s="234"/>
    </row>
    <row r="128" spans="3:3">
      <c r="C128" s="234"/>
    </row>
    <row r="129" spans="3:3">
      <c r="C129" s="234"/>
    </row>
    <row r="130" spans="3:3">
      <c r="C130" s="234"/>
    </row>
    <row r="131" spans="3:3">
      <c r="C131" s="234"/>
    </row>
    <row r="132" spans="3:3">
      <c r="C132" s="234"/>
    </row>
    <row r="133" spans="3:3">
      <c r="C133" s="234"/>
    </row>
    <row r="134" spans="3:3">
      <c r="C134" s="234"/>
    </row>
    <row r="135" spans="3:3">
      <c r="C135" s="234"/>
    </row>
    <row r="136" spans="3:3">
      <c r="C136" s="234"/>
    </row>
    <row r="137" spans="3:3">
      <c r="C137" s="234"/>
    </row>
    <row r="138" spans="3:3">
      <c r="C138" s="234"/>
    </row>
    <row r="139" spans="3:3">
      <c r="C139" s="234"/>
    </row>
    <row r="140" spans="3:3">
      <c r="C140" s="234"/>
    </row>
    <row r="141" spans="3:3">
      <c r="C141" s="234"/>
    </row>
    <row r="142" spans="3:3">
      <c r="C142" s="234"/>
    </row>
    <row r="143" spans="3:3">
      <c r="C143" s="234"/>
    </row>
    <row r="144" spans="3:3">
      <c r="C144" s="234"/>
    </row>
    <row r="145" spans="3:3">
      <c r="C145" s="234"/>
    </row>
    <row r="146" spans="3:3">
      <c r="C146" s="234"/>
    </row>
    <row r="147" spans="3:3">
      <c r="C147" s="234"/>
    </row>
    <row r="148" spans="3:3">
      <c r="C148" s="234"/>
    </row>
    <row r="149" spans="3:3">
      <c r="C149" s="234"/>
    </row>
    <row r="150" spans="3:3">
      <c r="C150" s="234"/>
    </row>
    <row r="151" spans="3:3">
      <c r="C151" s="234"/>
    </row>
    <row r="152" spans="3:3">
      <c r="C152" s="234"/>
    </row>
    <row r="153" spans="3:3">
      <c r="C153" s="234"/>
    </row>
  </sheetData>
  <mergeCells count="4">
    <mergeCell ref="B2:CG2"/>
    <mergeCell ref="B4:CE4"/>
    <mergeCell ref="B5:CG5"/>
    <mergeCell ref="B3:CG3"/>
  </mergeCells>
  <hyperlinks>
    <hyperlink ref="B26" location="NOTAS!A295" display="GASTOS DE ADMINISTRACION" xr:uid="{00000000-0004-0000-0100-000000000000}"/>
    <hyperlink ref="B40" location="NOTAS!A559" display="GASTOS NO OPERACIONALES" xr:uid="{00000000-0004-0000-0100-000001000000}"/>
  </hyperlinks>
  <pageMargins left="0.55118110236220497" right="0.55118110236220497" top="0.59055118110236204" bottom="0.59055118110236204" header="0" footer="0"/>
  <pageSetup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2:BN141"/>
  <sheetViews>
    <sheetView showGridLines="0" zoomScaleNormal="100" workbookViewId="0">
      <selection activeCell="B12" sqref="B12"/>
    </sheetView>
  </sheetViews>
  <sheetFormatPr baseColWidth="10" defaultRowHeight="12.75"/>
  <cols>
    <col min="1" max="1" width="50.7109375" bestFit="1" customWidth="1"/>
    <col min="2" max="2" width="14.28515625" customWidth="1"/>
    <col min="3" max="3" width="2" customWidth="1"/>
    <col min="4" max="4" width="14.28515625" customWidth="1"/>
    <col min="5" max="11" width="11.5703125" hidden="1" customWidth="1"/>
    <col min="12" max="12" width="14.42578125" hidden="1" customWidth="1"/>
    <col min="13" max="14" width="11.5703125" hidden="1" customWidth="1"/>
    <col min="15" max="15" width="10.7109375" hidden="1" customWidth="1"/>
    <col min="16" max="16" width="2" customWidth="1"/>
    <col min="17" max="17" width="14" customWidth="1"/>
    <col min="18" max="18" width="11.7109375" hidden="1" customWidth="1"/>
    <col min="19" max="28" width="11.140625" hidden="1" customWidth="1"/>
    <col min="29" max="29" width="2" customWidth="1"/>
    <col min="30" max="30" width="14.42578125" customWidth="1"/>
    <col min="31" max="41" width="11.5703125" hidden="1" customWidth="1"/>
    <col min="42" max="42" width="2" hidden="1" customWidth="1"/>
    <col min="43" max="43" width="13.7109375" hidden="1" customWidth="1"/>
    <col min="44" max="53" width="11.5703125" hidden="1" customWidth="1"/>
    <col min="54" max="54" width="0.85546875" hidden="1" customWidth="1"/>
    <col min="55" max="55" width="2" hidden="1" customWidth="1"/>
    <col min="56" max="56" width="11.140625" hidden="1" customWidth="1"/>
    <col min="57" max="61" width="11.5703125" hidden="1" customWidth="1"/>
    <col min="62" max="62" width="2" hidden="1" customWidth="1"/>
    <col min="63" max="63" width="11.140625" hidden="1" customWidth="1"/>
    <col min="64" max="65" width="14.5703125" hidden="1" customWidth="1"/>
    <col min="66" max="66" width="15.5703125" bestFit="1" customWidth="1"/>
  </cols>
  <sheetData>
    <row r="2" spans="1:65" ht="15">
      <c r="A2" s="521" t="str">
        <f>+ESF!B2</f>
        <v>JELCOM SOLUCIONES EMPRESARIALES SAS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521"/>
      <c r="AA2" s="521"/>
      <c r="AB2" s="521"/>
      <c r="AC2" s="521"/>
      <c r="AD2" s="521"/>
      <c r="AE2" s="521"/>
      <c r="AF2" s="521"/>
      <c r="AG2" s="521"/>
      <c r="AH2" s="521"/>
      <c r="AI2" s="521"/>
      <c r="AJ2" s="521"/>
      <c r="AK2" s="521"/>
      <c r="AL2" s="521"/>
      <c r="AM2" s="521"/>
      <c r="AN2" s="521"/>
      <c r="AO2" s="521"/>
      <c r="AP2" s="521"/>
      <c r="AQ2" s="521"/>
      <c r="AR2" s="521"/>
      <c r="AS2" s="521"/>
      <c r="AT2" s="521"/>
      <c r="AU2" s="521"/>
      <c r="AV2" s="521"/>
      <c r="AW2" s="521"/>
      <c r="AX2" s="521"/>
      <c r="AY2" s="521"/>
      <c r="AZ2" s="521"/>
      <c r="BA2" s="521"/>
      <c r="BB2" s="521"/>
      <c r="BC2" s="521"/>
      <c r="BD2" s="521"/>
      <c r="BE2" s="521"/>
      <c r="BF2" s="521"/>
      <c r="BG2" s="521"/>
      <c r="BH2" s="521"/>
      <c r="BI2" s="521"/>
      <c r="BJ2" s="521"/>
      <c r="BK2" s="521"/>
    </row>
    <row r="3" spans="1:65" ht="15">
      <c r="A3" s="522" t="str">
        <f>+ESF!B3</f>
        <v>NIT. 901360819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  <c r="AM3" s="522"/>
      <c r="AN3" s="522"/>
      <c r="AO3" s="522"/>
      <c r="AP3" s="522"/>
      <c r="AQ3" s="522"/>
      <c r="AR3" s="522"/>
      <c r="AS3" s="522"/>
      <c r="AT3" s="522"/>
      <c r="AU3" s="522"/>
      <c r="AV3" s="522"/>
      <c r="AW3" s="522"/>
      <c r="AX3" s="522"/>
      <c r="AY3" s="522"/>
      <c r="AZ3" s="522"/>
      <c r="BA3" s="522"/>
      <c r="BB3" s="522"/>
      <c r="BC3" s="522"/>
      <c r="BD3" s="522"/>
      <c r="BE3" s="522"/>
      <c r="BF3" s="522"/>
      <c r="BG3" s="522"/>
      <c r="BH3" s="522"/>
      <c r="BI3" s="522"/>
      <c r="BJ3" s="522"/>
      <c r="BK3" s="522"/>
    </row>
    <row r="4" spans="1:65" ht="15">
      <c r="A4" s="521" t="s">
        <v>156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  <c r="AA4" s="521"/>
      <c r="AB4" s="521"/>
      <c r="AC4" s="521"/>
      <c r="AD4" s="521"/>
      <c r="AE4" s="521"/>
      <c r="AF4" s="521"/>
      <c r="AG4" s="521"/>
      <c r="AH4" s="521"/>
      <c r="AI4" s="521"/>
      <c r="AJ4" s="521"/>
      <c r="AK4" s="521"/>
      <c r="AL4" s="521"/>
      <c r="AM4" s="521"/>
      <c r="AN4" s="521"/>
      <c r="AO4" s="521"/>
      <c r="AP4" s="521"/>
      <c r="AQ4" s="521"/>
      <c r="AR4" s="521"/>
      <c r="AS4" s="521"/>
      <c r="AT4" s="521"/>
      <c r="AU4" s="521"/>
      <c r="AV4" s="521"/>
      <c r="AW4" s="521"/>
      <c r="AX4" s="521"/>
      <c r="AY4" s="521"/>
      <c r="AZ4" s="521"/>
      <c r="BA4" s="521"/>
      <c r="BB4" s="521"/>
      <c r="BC4" s="521"/>
      <c r="BD4" s="521"/>
      <c r="BE4" s="521"/>
      <c r="BF4" s="521"/>
      <c r="BG4" s="521"/>
      <c r="BH4" s="521"/>
      <c r="BI4" s="521"/>
      <c r="BJ4" s="521"/>
      <c r="BK4" s="521"/>
    </row>
    <row r="5" spans="1:65" ht="16.5" thickBot="1">
      <c r="A5" s="66"/>
      <c r="B5" s="66" t="s">
        <v>157</v>
      </c>
      <c r="C5" s="66"/>
      <c r="D5" s="66" t="s">
        <v>157</v>
      </c>
      <c r="E5" s="66" t="s">
        <v>157</v>
      </c>
      <c r="F5" s="66" t="s">
        <v>157</v>
      </c>
      <c r="G5" s="66" t="s">
        <v>157</v>
      </c>
      <c r="H5" s="66" t="s">
        <v>157</v>
      </c>
      <c r="I5" s="66" t="s">
        <v>157</v>
      </c>
      <c r="J5" s="66" t="s">
        <v>157</v>
      </c>
      <c r="K5" s="66" t="s">
        <v>157</v>
      </c>
      <c r="L5" s="66" t="s">
        <v>157</v>
      </c>
      <c r="M5" s="66" t="s">
        <v>157</v>
      </c>
      <c r="N5" s="66" t="s">
        <v>157</v>
      </c>
      <c r="O5" s="66" t="s">
        <v>157</v>
      </c>
      <c r="P5" s="66"/>
      <c r="Q5" s="66" t="s">
        <v>157</v>
      </c>
      <c r="R5" s="66" t="s">
        <v>157</v>
      </c>
      <c r="S5" s="66" t="s">
        <v>157</v>
      </c>
      <c r="T5" s="66" t="s">
        <v>157</v>
      </c>
      <c r="U5" s="66" t="s">
        <v>157</v>
      </c>
      <c r="V5" s="66" t="s">
        <v>157</v>
      </c>
      <c r="W5" s="66" t="s">
        <v>157</v>
      </c>
      <c r="X5" s="66" t="s">
        <v>157</v>
      </c>
      <c r="Y5" s="66" t="s">
        <v>157</v>
      </c>
      <c r="Z5" s="66" t="s">
        <v>157</v>
      </c>
      <c r="AA5" s="66" t="s">
        <v>157</v>
      </c>
      <c r="AB5" s="66" t="s">
        <v>157</v>
      </c>
      <c r="AC5" s="66"/>
      <c r="AD5" s="66" t="s">
        <v>157</v>
      </c>
      <c r="AE5" s="66" t="s">
        <v>157</v>
      </c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</row>
    <row r="6" spans="1:65">
      <c r="A6" s="92" t="s">
        <v>158</v>
      </c>
      <c r="B6" s="137">
        <v>2026</v>
      </c>
      <c r="C6" s="92"/>
      <c r="D6" s="137">
        <v>2025</v>
      </c>
      <c r="E6" s="137">
        <v>2025</v>
      </c>
      <c r="F6" s="137">
        <v>2025</v>
      </c>
      <c r="G6" s="137">
        <v>2025</v>
      </c>
      <c r="H6" s="137">
        <v>2025</v>
      </c>
      <c r="I6" s="137">
        <v>2025</v>
      </c>
      <c r="J6" s="137">
        <v>2025</v>
      </c>
      <c r="K6" s="137">
        <v>2025</v>
      </c>
      <c r="L6" s="137">
        <v>2025</v>
      </c>
      <c r="M6" s="137">
        <v>2025</v>
      </c>
      <c r="N6" s="137">
        <v>2025</v>
      </c>
      <c r="O6" s="137">
        <v>2025</v>
      </c>
      <c r="P6" s="92"/>
      <c r="Q6" s="137">
        <v>2024</v>
      </c>
      <c r="R6" s="137">
        <v>2024</v>
      </c>
      <c r="S6" s="137">
        <v>2024</v>
      </c>
      <c r="T6" s="137">
        <v>2024</v>
      </c>
      <c r="U6" s="137">
        <v>2024</v>
      </c>
      <c r="V6" s="137">
        <v>2024</v>
      </c>
      <c r="W6" s="137">
        <v>2024</v>
      </c>
      <c r="X6" s="137">
        <v>2024</v>
      </c>
      <c r="Y6" s="137">
        <v>2024</v>
      </c>
      <c r="Z6" s="137">
        <v>2024</v>
      </c>
      <c r="AA6" s="137">
        <v>2024</v>
      </c>
      <c r="AB6" s="137">
        <v>2024</v>
      </c>
      <c r="AC6" s="92"/>
      <c r="AD6" s="137">
        <v>2023</v>
      </c>
      <c r="AE6" s="137">
        <v>2023</v>
      </c>
      <c r="AF6" s="137">
        <v>2023</v>
      </c>
      <c r="AG6" s="137">
        <v>2023</v>
      </c>
      <c r="AH6" s="137">
        <v>2023</v>
      </c>
      <c r="AI6" s="137">
        <v>2023</v>
      </c>
      <c r="AJ6" s="137">
        <v>2023</v>
      </c>
      <c r="AK6" s="137">
        <v>2023</v>
      </c>
      <c r="AL6" s="137">
        <v>2023</v>
      </c>
      <c r="AM6" s="137">
        <v>2023</v>
      </c>
      <c r="AN6" s="137">
        <v>2023</v>
      </c>
      <c r="AO6" s="137">
        <v>2023</v>
      </c>
      <c r="AP6" s="92"/>
      <c r="AQ6" s="137">
        <v>2022</v>
      </c>
      <c r="AR6" s="93">
        <v>2022</v>
      </c>
      <c r="AS6" s="93">
        <v>2022</v>
      </c>
      <c r="AT6" s="93">
        <v>2022</v>
      </c>
      <c r="AU6" s="93">
        <v>2022</v>
      </c>
      <c r="AV6" s="93">
        <v>2022</v>
      </c>
      <c r="AW6" s="93">
        <v>2022</v>
      </c>
      <c r="AX6" s="93">
        <v>2022</v>
      </c>
      <c r="AY6" s="93">
        <v>2022</v>
      </c>
      <c r="AZ6" s="93">
        <v>2022</v>
      </c>
      <c r="BA6" s="93">
        <v>2022</v>
      </c>
      <c r="BB6" s="93">
        <v>2022</v>
      </c>
      <c r="BC6" s="92"/>
      <c r="BD6" s="137">
        <v>2021</v>
      </c>
      <c r="BE6" s="93">
        <v>2021</v>
      </c>
      <c r="BF6" s="93">
        <v>2021</v>
      </c>
      <c r="BG6" s="93">
        <v>2021</v>
      </c>
      <c r="BH6" s="93">
        <v>2021</v>
      </c>
      <c r="BI6" s="93">
        <v>2021</v>
      </c>
      <c r="BJ6" s="92"/>
      <c r="BK6" s="137">
        <v>2020</v>
      </c>
    </row>
    <row r="7" spans="1:65" ht="13.5" thickBot="1">
      <c r="A7" s="92"/>
      <c r="B7" s="138" t="s">
        <v>168</v>
      </c>
      <c r="C7" s="92"/>
      <c r="D7" s="138" t="s">
        <v>169</v>
      </c>
      <c r="E7" s="138" t="s">
        <v>170</v>
      </c>
      <c r="F7" s="138" t="s">
        <v>159</v>
      </c>
      <c r="G7" s="138" t="s">
        <v>160</v>
      </c>
      <c r="H7" s="138" t="s">
        <v>161</v>
      </c>
      <c r="I7" s="138" t="s">
        <v>162</v>
      </c>
      <c r="J7" s="138" t="s">
        <v>163</v>
      </c>
      <c r="K7" s="138" t="s">
        <v>164</v>
      </c>
      <c r="L7" s="138" t="s">
        <v>165</v>
      </c>
      <c r="M7" s="495" t="s">
        <v>166</v>
      </c>
      <c r="N7" s="138" t="s">
        <v>167</v>
      </c>
      <c r="O7" s="138" t="s">
        <v>168</v>
      </c>
      <c r="P7" s="92"/>
      <c r="Q7" s="138" t="s">
        <v>169</v>
      </c>
      <c r="R7" s="138" t="s">
        <v>170</v>
      </c>
      <c r="S7" s="138" t="s">
        <v>159</v>
      </c>
      <c r="T7" s="138" t="s">
        <v>160</v>
      </c>
      <c r="U7" s="138" t="s">
        <v>161</v>
      </c>
      <c r="V7" s="138" t="s">
        <v>162</v>
      </c>
      <c r="W7" s="138" t="s">
        <v>163</v>
      </c>
      <c r="X7" s="138" t="s">
        <v>164</v>
      </c>
      <c r="Y7" s="138" t="s">
        <v>165</v>
      </c>
      <c r="Z7" s="138" t="s">
        <v>166</v>
      </c>
      <c r="AA7" s="138" t="s">
        <v>167</v>
      </c>
      <c r="AB7" s="138" t="s">
        <v>168</v>
      </c>
      <c r="AC7" s="92"/>
      <c r="AD7" s="138" t="s">
        <v>169</v>
      </c>
      <c r="AE7" s="138" t="s">
        <v>170</v>
      </c>
      <c r="AF7" s="138" t="s">
        <v>159</v>
      </c>
      <c r="AG7" s="138" t="s">
        <v>160</v>
      </c>
      <c r="AH7" s="138" t="s">
        <v>161</v>
      </c>
      <c r="AI7" s="138" t="s">
        <v>162</v>
      </c>
      <c r="AJ7" s="138" t="s">
        <v>163</v>
      </c>
      <c r="AK7" s="138" t="s">
        <v>164</v>
      </c>
      <c r="AL7" s="138" t="s">
        <v>165</v>
      </c>
      <c r="AM7" s="138" t="s">
        <v>166</v>
      </c>
      <c r="AN7" s="138" t="s">
        <v>167</v>
      </c>
      <c r="AO7" s="138" t="s">
        <v>168</v>
      </c>
      <c r="AP7" s="92"/>
      <c r="AQ7" s="138" t="s">
        <v>169</v>
      </c>
      <c r="AR7" s="99" t="s">
        <v>170</v>
      </c>
      <c r="AS7" s="153" t="s">
        <v>159</v>
      </c>
      <c r="AT7" s="153" t="s">
        <v>160</v>
      </c>
      <c r="AU7" s="153" t="s">
        <v>161</v>
      </c>
      <c r="AV7" s="153" t="s">
        <v>162</v>
      </c>
      <c r="AW7" s="153" t="s">
        <v>163</v>
      </c>
      <c r="AX7" s="153" t="s">
        <v>164</v>
      </c>
      <c r="AY7" s="153" t="s">
        <v>165</v>
      </c>
      <c r="AZ7" s="153" t="s">
        <v>166</v>
      </c>
      <c r="BA7" s="153" t="s">
        <v>171</v>
      </c>
      <c r="BB7" s="153" t="s">
        <v>168</v>
      </c>
      <c r="BC7" s="92"/>
      <c r="BD7" s="138" t="s">
        <v>169</v>
      </c>
      <c r="BE7" s="69" t="s">
        <v>160</v>
      </c>
      <c r="BF7" s="163" t="s">
        <v>161</v>
      </c>
      <c r="BG7" s="163" t="s">
        <v>162</v>
      </c>
      <c r="BH7" s="163" t="s">
        <v>163</v>
      </c>
      <c r="BI7" s="163" t="s">
        <v>164</v>
      </c>
      <c r="BJ7" s="92"/>
      <c r="BK7" s="138" t="s">
        <v>169</v>
      </c>
    </row>
    <row r="8" spans="1:65">
      <c r="A8" s="139" t="s">
        <v>4</v>
      </c>
      <c r="B8" s="136"/>
      <c r="C8" s="139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9"/>
      <c r="Q8" s="136"/>
      <c r="R8" s="136"/>
      <c r="S8" s="136"/>
      <c r="AC8" s="139"/>
    </row>
    <row r="9" spans="1:65" ht="13.5" thickBot="1">
      <c r="A9" s="139"/>
      <c r="B9" s="136"/>
      <c r="C9" s="139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9"/>
      <c r="Q9" s="136"/>
      <c r="R9" s="136"/>
      <c r="S9" s="136"/>
      <c r="AC9" s="139"/>
    </row>
    <row r="10" spans="1:65" ht="13.15" customHeight="1" thickTop="1" thickBot="1">
      <c r="A10" s="140" t="str">
        <f>+ESF!B10</f>
        <v xml:space="preserve">   Efectivo y Equivalentes al Efectivo</v>
      </c>
      <c r="B10" s="75">
        <f t="shared" ref="B10:D10" si="0">SUM(B11:B12)</f>
        <v>26352599.12252</v>
      </c>
      <c r="C10" s="140"/>
      <c r="D10" s="75">
        <f t="shared" si="0"/>
        <v>65794723.12252</v>
      </c>
      <c r="E10" s="75">
        <f t="shared" ref="E10:F10" si="1">SUM(E11:E12)</f>
        <v>29244298.12252003</v>
      </c>
      <c r="F10" s="75">
        <f t="shared" si="1"/>
        <v>21098136.122520044</v>
      </c>
      <c r="G10" s="75">
        <f t="shared" ref="G10:H10" si="2">SUM(G11:G12)</f>
        <v>14529916.122520041</v>
      </c>
      <c r="H10" s="75">
        <f t="shared" si="2"/>
        <v>10355964.12252005</v>
      </c>
      <c r="I10" s="75">
        <f t="shared" ref="I10:O10" si="3">SUM(I11:I12)</f>
        <v>11927408.45252005</v>
      </c>
      <c r="J10" s="75">
        <f t="shared" si="3"/>
        <v>5739207.4525200501</v>
      </c>
      <c r="K10" s="75">
        <f t="shared" si="3"/>
        <v>16777658.452520043</v>
      </c>
      <c r="L10" s="75">
        <f t="shared" si="3"/>
        <v>19995742.365520049</v>
      </c>
      <c r="M10" s="75">
        <f t="shared" si="3"/>
        <v>5586641.3655200498</v>
      </c>
      <c r="N10" s="75">
        <f t="shared" si="3"/>
        <v>5714391.8755200701</v>
      </c>
      <c r="O10" s="75">
        <f t="shared" si="3"/>
        <v>7199659.8755200608</v>
      </c>
      <c r="P10" s="140"/>
      <c r="Q10" s="75">
        <f t="shared" ref="Q10:AB10" si="4">SUM(Q11:Q12)</f>
        <v>5382680.7000000002</v>
      </c>
      <c r="R10" s="75">
        <f t="shared" si="4"/>
        <v>5032561</v>
      </c>
      <c r="S10" s="75">
        <f t="shared" si="4"/>
        <v>4883116.84</v>
      </c>
      <c r="T10" s="75">
        <f t="shared" si="4"/>
        <v>4072200.84</v>
      </c>
      <c r="U10" s="75">
        <f t="shared" si="4"/>
        <v>-4649353.1244799402</v>
      </c>
      <c r="V10" s="75">
        <f t="shared" si="4"/>
        <v>-5795604.9400000004</v>
      </c>
      <c r="W10" s="75">
        <f t="shared" si="4"/>
        <v>-3994354.14</v>
      </c>
      <c r="X10" s="75">
        <f t="shared" si="4"/>
        <v>-1573955.3</v>
      </c>
      <c r="Y10" s="75">
        <f t="shared" si="4"/>
        <v>1447407.840000004</v>
      </c>
      <c r="Z10" s="75">
        <f t="shared" si="4"/>
        <v>1217814.840000004</v>
      </c>
      <c r="AA10" s="75">
        <f t="shared" si="4"/>
        <v>6356103.9135200493</v>
      </c>
      <c r="AB10" s="75">
        <f t="shared" si="4"/>
        <v>6342950.9135200493</v>
      </c>
      <c r="AC10" s="140"/>
      <c r="AD10" s="75">
        <f t="shared" ref="AD10:AO10" si="5">SUM(AD11:AD12)</f>
        <v>1846377.443999998</v>
      </c>
      <c r="AE10" s="75">
        <f t="shared" si="5"/>
        <v>-16503757.111831998</v>
      </c>
      <c r="AF10" s="75">
        <f t="shared" si="5"/>
        <v>-15088454.171831999</v>
      </c>
      <c r="AG10" s="75">
        <f t="shared" si="5"/>
        <v>-16610194.115831999</v>
      </c>
      <c r="AH10" s="75">
        <f t="shared" si="5"/>
        <v>-16113341.855831997</v>
      </c>
      <c r="AI10" s="75">
        <f t="shared" si="5"/>
        <v>-13926093.385832001</v>
      </c>
      <c r="AJ10" s="75">
        <f t="shared" si="5"/>
        <v>-15129335.38648</v>
      </c>
      <c r="AK10" s="75">
        <f t="shared" si="5"/>
        <v>-12473353.746479999</v>
      </c>
      <c r="AL10" s="75">
        <f t="shared" si="5"/>
        <v>-12184191.356480001</v>
      </c>
      <c r="AM10" s="75">
        <f t="shared" si="5"/>
        <v>-3327424.6564799994</v>
      </c>
      <c r="AN10" s="75">
        <f t="shared" si="5"/>
        <v>-7836192.3164799996</v>
      </c>
      <c r="AO10" s="75">
        <f t="shared" si="5"/>
        <v>-4863415.2664799998</v>
      </c>
      <c r="AP10" s="87"/>
      <c r="AQ10" s="75">
        <f t="shared" ref="AQ10:BB10" si="6">SUM(AQ11:AQ12)</f>
        <v>3821900.1522799949</v>
      </c>
      <c r="AR10" s="101">
        <f t="shared" si="6"/>
        <v>89923</v>
      </c>
      <c r="AS10" s="101">
        <f t="shared" si="6"/>
        <v>3267146</v>
      </c>
      <c r="AT10" s="101">
        <f t="shared" si="6"/>
        <v>1261066</v>
      </c>
      <c r="AU10" s="101">
        <f t="shared" si="6"/>
        <v>102040</v>
      </c>
      <c r="AV10" s="101">
        <f t="shared" si="6"/>
        <v>0</v>
      </c>
      <c r="AW10" s="101">
        <f t="shared" si="6"/>
        <v>0</v>
      </c>
      <c r="AX10" s="101">
        <f t="shared" si="6"/>
        <v>0</v>
      </c>
      <c r="AY10" s="101">
        <f t="shared" si="6"/>
        <v>0</v>
      </c>
      <c r="AZ10" s="101">
        <f t="shared" si="6"/>
        <v>0</v>
      </c>
      <c r="BA10" s="101">
        <f t="shared" si="6"/>
        <v>0</v>
      </c>
      <c r="BB10" s="75">
        <f t="shared" si="6"/>
        <v>0</v>
      </c>
      <c r="BD10" s="75">
        <f t="shared" ref="BD10:BI10" si="7">SUM(BD11:BD12)</f>
        <v>15221800.1606667</v>
      </c>
      <c r="BE10" s="75">
        <f t="shared" si="7"/>
        <v>0</v>
      </c>
      <c r="BF10" s="75">
        <f t="shared" si="7"/>
        <v>0</v>
      </c>
      <c r="BG10" s="75">
        <f t="shared" si="7"/>
        <v>0</v>
      </c>
      <c r="BH10" s="75">
        <f t="shared" si="7"/>
        <v>0</v>
      </c>
      <c r="BI10" s="75">
        <f t="shared" si="7"/>
        <v>0</v>
      </c>
      <c r="BJ10" s="87"/>
      <c r="BK10" s="75">
        <f>SUM(BK11:BK12)</f>
        <v>2000000</v>
      </c>
    </row>
    <row r="11" spans="1:65" ht="13.5" thickTop="1">
      <c r="A11" s="83" t="s">
        <v>433</v>
      </c>
      <c r="B11" s="337">
        <v>25998487.12252</v>
      </c>
      <c r="C11" s="74"/>
      <c r="D11" s="337">
        <v>25997315.12252</v>
      </c>
      <c r="E11" s="337">
        <f>-405821.87747997+8830+317000</f>
        <v>-79991.87747996999</v>
      </c>
      <c r="F11" s="337">
        <f>-370685.877479956+8830+317000</f>
        <v>-44855.87747995602</v>
      </c>
      <c r="G11" s="337">
        <f>-1876839.87747996+8830+317000</f>
        <v>-1551009.87747996</v>
      </c>
      <c r="H11" s="337">
        <f>-1973987.89747995+8830+317000</f>
        <v>-1648157.89747995</v>
      </c>
      <c r="I11" s="337">
        <f>-1949467.89747995+8830+317000</f>
        <v>-1623637.89747995</v>
      </c>
      <c r="J11" s="337">
        <f>-1750737.89747995+8830</f>
        <v>-1741907.89747995</v>
      </c>
      <c r="K11" s="337">
        <f>-630699.547479957+8830</f>
        <v>-621869.54747995699</v>
      </c>
      <c r="L11" s="337">
        <f>-3843031.63447995+1519000+2000000</f>
        <v>-324031.63447995018</v>
      </c>
      <c r="M11" s="337">
        <f>1664220.36552005+1519000+2000000</f>
        <v>5183220.3655200498</v>
      </c>
      <c r="N11" s="337">
        <f>1763302.01552007+1519000+2000000</f>
        <v>5282302.0155200697</v>
      </c>
      <c r="O11" s="337">
        <f>3270302.01552006+1519000+2000000</f>
        <v>6789302.0155200604</v>
      </c>
      <c r="P11" s="74"/>
      <c r="Q11" s="337">
        <v>3820798.84</v>
      </c>
      <c r="R11" s="144">
        <f>2205793-5200</f>
        <v>2200593</v>
      </c>
      <c r="S11" s="144">
        <f>2317529.84-5200</f>
        <v>2312329.84</v>
      </c>
      <c r="T11" s="144">
        <f>4036144.84-5200</f>
        <v>4030944.84</v>
      </c>
      <c r="U11" s="144">
        <f>-7451579.98447994-5200</f>
        <v>-7456779.9844799396</v>
      </c>
      <c r="V11" s="144">
        <f>-6366357.16-5200</f>
        <v>-6371557.1600000001</v>
      </c>
      <c r="W11" s="144">
        <f>-4503093-5200</f>
        <v>-4508293</v>
      </c>
      <c r="X11" s="144">
        <v>-2623768.16</v>
      </c>
      <c r="Y11" s="144">
        <v>-933035.15999999596</v>
      </c>
      <c r="Z11" s="144">
        <v>835750.84000000404</v>
      </c>
      <c r="AA11" s="144">
        <v>2368265.0535200499</v>
      </c>
      <c r="AB11" s="144">
        <v>4232966.0535200499</v>
      </c>
      <c r="AC11" s="74"/>
      <c r="AD11" s="144">
        <v>290000.44399999798</v>
      </c>
      <c r="AE11" s="144">
        <v>-18234843.831831999</v>
      </c>
      <c r="AF11" s="144">
        <v>-15090672.891832</v>
      </c>
      <c r="AG11" s="144">
        <v>-18113639.835832</v>
      </c>
      <c r="AH11" s="144">
        <v>-18142175.575831998</v>
      </c>
      <c r="AI11" s="144">
        <v>-14351355.245832</v>
      </c>
      <c r="AJ11" s="144">
        <v>-15251386.246479999</v>
      </c>
      <c r="AK11" s="144">
        <v>-14349219.746479999</v>
      </c>
      <c r="AL11" s="144">
        <v>-14914912.356480001</v>
      </c>
      <c r="AM11" s="144">
        <v>-12512628.656479999</v>
      </c>
      <c r="AN11" s="144">
        <v>-10435360.31648</v>
      </c>
      <c r="AO11" s="144">
        <v>-6432878.04648</v>
      </c>
      <c r="AP11" s="94"/>
      <c r="AQ11" s="144">
        <f>150302.152279995+840</f>
        <v>151142.152279995</v>
      </c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94"/>
      <c r="BD11" s="144">
        <v>15200930.1606667</v>
      </c>
      <c r="BE11" s="144"/>
      <c r="BF11" s="144"/>
      <c r="BG11" s="144"/>
      <c r="BH11" s="144"/>
      <c r="BI11" s="144"/>
      <c r="BJ11" s="94"/>
      <c r="BK11" s="144">
        <v>2000000</v>
      </c>
      <c r="BM11" s="65"/>
    </row>
    <row r="12" spans="1:65" ht="13.5" thickBot="1">
      <c r="A12" s="73" t="s">
        <v>432</v>
      </c>
      <c r="B12" s="310">
        <v>354112</v>
      </c>
      <c r="C12" s="73"/>
      <c r="D12" s="310">
        <v>39797408</v>
      </c>
      <c r="E12" s="310">
        <v>29324290</v>
      </c>
      <c r="F12" s="310">
        <v>21142992</v>
      </c>
      <c r="G12" s="310">
        <v>16080926</v>
      </c>
      <c r="H12" s="310">
        <v>12004122.02</v>
      </c>
      <c r="I12" s="310">
        <v>13551046.35</v>
      </c>
      <c r="J12" s="310">
        <v>7481115.3499999996</v>
      </c>
      <c r="K12" s="310">
        <v>17399528</v>
      </c>
      <c r="L12" s="310">
        <v>20319774</v>
      </c>
      <c r="M12" s="310">
        <v>403421</v>
      </c>
      <c r="N12" s="310">
        <v>432089.86</v>
      </c>
      <c r="O12" s="310">
        <v>410357.86</v>
      </c>
      <c r="P12" s="73"/>
      <c r="Q12" s="310">
        <v>1561881.86</v>
      </c>
      <c r="R12" s="173">
        <v>2831968</v>
      </c>
      <c r="S12" s="173">
        <v>2570787</v>
      </c>
      <c r="T12" s="173">
        <v>41256</v>
      </c>
      <c r="U12" s="173">
        <v>2807426.86</v>
      </c>
      <c r="V12" s="173">
        <v>575952.22</v>
      </c>
      <c r="W12" s="173">
        <v>513938.86</v>
      </c>
      <c r="X12" s="173">
        <v>1049812.8600000001</v>
      </c>
      <c r="Y12" s="173">
        <v>2380443</v>
      </c>
      <c r="Z12" s="173">
        <v>382064</v>
      </c>
      <c r="AA12" s="173">
        <v>3987838.86</v>
      </c>
      <c r="AB12" s="173">
        <v>2109984.86</v>
      </c>
      <c r="AC12" s="73"/>
      <c r="AD12" s="173">
        <v>1556377</v>
      </c>
      <c r="AE12" s="173">
        <v>1731086.72</v>
      </c>
      <c r="AF12" s="173">
        <v>2218.7199999999998</v>
      </c>
      <c r="AG12" s="173">
        <v>1503445.72</v>
      </c>
      <c r="AH12" s="173">
        <v>2028833.72</v>
      </c>
      <c r="AI12" s="173">
        <v>425261.86</v>
      </c>
      <c r="AJ12" s="173">
        <v>122050.86</v>
      </c>
      <c r="AK12" s="173">
        <v>1875866</v>
      </c>
      <c r="AL12" s="173">
        <v>2730721</v>
      </c>
      <c r="AM12" s="173">
        <v>9185204</v>
      </c>
      <c r="AN12" s="173">
        <v>2599168</v>
      </c>
      <c r="AO12" s="173">
        <v>1569462.78</v>
      </c>
      <c r="AP12" s="65"/>
      <c r="AQ12" s="173">
        <v>3670758</v>
      </c>
      <c r="AR12" s="173">
        <v>89923</v>
      </c>
      <c r="AS12" s="173">
        <v>3267146</v>
      </c>
      <c r="AT12" s="173">
        <v>1261066</v>
      </c>
      <c r="AU12" s="173">
        <v>102040</v>
      </c>
      <c r="AV12" s="173">
        <v>0</v>
      </c>
      <c r="AW12" s="173">
        <v>0</v>
      </c>
      <c r="AX12" s="173">
        <v>0</v>
      </c>
      <c r="AY12" s="173">
        <v>0</v>
      </c>
      <c r="AZ12" s="173">
        <v>0</v>
      </c>
      <c r="BA12" s="173">
        <v>0</v>
      </c>
      <c r="BB12" s="173">
        <v>0</v>
      </c>
      <c r="BC12" s="65"/>
      <c r="BD12" s="173">
        <v>20870</v>
      </c>
      <c r="BE12" s="173"/>
      <c r="BF12" s="173"/>
      <c r="BG12" s="173"/>
      <c r="BH12" s="173"/>
      <c r="BI12" s="173"/>
      <c r="BJ12" s="65"/>
      <c r="BK12" s="173">
        <v>0</v>
      </c>
    </row>
    <row r="13" spans="1:65" ht="14.25" thickTop="1" thickBot="1">
      <c r="A13" s="140"/>
      <c r="B13" s="510"/>
      <c r="D13" s="510"/>
      <c r="E13" s="510"/>
      <c r="F13" s="510"/>
      <c r="G13" s="510"/>
      <c r="H13" s="510"/>
      <c r="I13" s="510"/>
      <c r="J13" s="510"/>
      <c r="K13" s="510"/>
      <c r="L13" s="510"/>
      <c r="M13" s="311"/>
      <c r="N13" s="311"/>
      <c r="O13" s="311"/>
      <c r="Q13" s="311"/>
      <c r="BC13" s="87"/>
    </row>
    <row r="14" spans="1:65" ht="13.9" customHeight="1" thickTop="1" thickBot="1">
      <c r="A14" s="140" t="s">
        <v>172</v>
      </c>
      <c r="B14" s="75">
        <f t="shared" ref="B14" si="8">+B15+B47+B40</f>
        <v>60550557.693999998</v>
      </c>
      <c r="C14" s="140"/>
      <c r="D14" s="75">
        <f t="shared" ref="D14:E14" si="9">+D15+D47+D40</f>
        <v>26355625.693999998</v>
      </c>
      <c r="E14" s="75">
        <f t="shared" si="9"/>
        <v>63694676.693999998</v>
      </c>
      <c r="F14" s="75">
        <f t="shared" ref="F14:G14" si="10">+F15+F47+F40</f>
        <v>46536960.693999998</v>
      </c>
      <c r="G14" s="75">
        <f t="shared" si="10"/>
        <v>53380638.693999998</v>
      </c>
      <c r="H14" s="75">
        <f t="shared" ref="H14:N14" si="11">+H15+H47+H40</f>
        <v>39619795.693999998</v>
      </c>
      <c r="I14" s="75">
        <f t="shared" si="11"/>
        <v>35652592.693999998</v>
      </c>
      <c r="J14" s="75">
        <f t="shared" si="11"/>
        <v>33989754.693999998</v>
      </c>
      <c r="K14" s="75">
        <f t="shared" si="11"/>
        <v>31431871.693999998</v>
      </c>
      <c r="L14" s="75">
        <f t="shared" si="11"/>
        <v>37114874.693999998</v>
      </c>
      <c r="M14" s="75">
        <f t="shared" si="11"/>
        <v>61187666.693999998</v>
      </c>
      <c r="N14" s="75">
        <f t="shared" si="11"/>
        <v>33658110.693999998</v>
      </c>
      <c r="O14" s="75">
        <f t="shared" ref="O14" si="12">+O15+O47</f>
        <v>8143514.6940000001</v>
      </c>
      <c r="P14" s="140"/>
      <c r="Q14" s="75">
        <f t="shared" ref="Q14:AB14" si="13">+Q15+Q47</f>
        <v>15258879.119520055</v>
      </c>
      <c r="R14" s="75">
        <f t="shared" si="13"/>
        <v>14415868.819520058</v>
      </c>
      <c r="S14" s="75">
        <f t="shared" si="13"/>
        <v>14986889.979520055</v>
      </c>
      <c r="T14" s="75">
        <f t="shared" si="13"/>
        <v>23162179.97952006</v>
      </c>
      <c r="U14" s="75">
        <f t="shared" si="13"/>
        <v>28904092.693999998</v>
      </c>
      <c r="V14" s="75">
        <f t="shared" si="13"/>
        <v>29247382.509520061</v>
      </c>
      <c r="W14" s="75">
        <f t="shared" si="13"/>
        <v>25029312.869520053</v>
      </c>
      <c r="X14" s="75">
        <f t="shared" si="13"/>
        <v>33443093.02952005</v>
      </c>
      <c r="Y14" s="75">
        <f t="shared" si="13"/>
        <v>27239896.073520049</v>
      </c>
      <c r="Z14" s="75">
        <f t="shared" si="13"/>
        <v>33545736.073520049</v>
      </c>
      <c r="AA14" s="75">
        <f t="shared" si="13"/>
        <v>23587056</v>
      </c>
      <c r="AB14" s="75">
        <f t="shared" si="13"/>
        <v>21982196</v>
      </c>
      <c r="AC14" s="140"/>
      <c r="AD14" s="75">
        <f>+AD15+AD47</f>
        <v>20841140.306000002</v>
      </c>
      <c r="AE14" s="75">
        <f t="shared" ref="AE14:AO14" si="14">SUM(AE48:AE53)</f>
        <v>4765667.3059999999</v>
      </c>
      <c r="AF14" s="75">
        <f t="shared" si="14"/>
        <v>4380307.3059999999</v>
      </c>
      <c r="AG14" s="75">
        <f t="shared" si="14"/>
        <v>3878887.6529999999</v>
      </c>
      <c r="AH14" s="75">
        <f t="shared" si="14"/>
        <v>3706628</v>
      </c>
      <c r="AI14" s="75">
        <f t="shared" si="14"/>
        <v>3427628</v>
      </c>
      <c r="AJ14" s="75">
        <f t="shared" si="14"/>
        <v>3133668</v>
      </c>
      <c r="AK14" s="75">
        <f t="shared" si="14"/>
        <v>2794188</v>
      </c>
      <c r="AL14" s="75">
        <f t="shared" si="14"/>
        <v>2292848</v>
      </c>
      <c r="AM14" s="75">
        <f t="shared" si="14"/>
        <v>1903095</v>
      </c>
      <c r="AN14" s="75">
        <f t="shared" si="14"/>
        <v>1850935</v>
      </c>
      <c r="AO14" s="75">
        <f t="shared" si="14"/>
        <v>1765095</v>
      </c>
      <c r="AP14" s="95"/>
      <c r="AQ14" s="75">
        <f>+AQ15+AQ47</f>
        <v>2543848</v>
      </c>
      <c r="AR14" s="75">
        <f t="shared" ref="AR14:BB14" si="15">+AR15+AR50+AR51+AR53+AR48</f>
        <v>797739</v>
      </c>
      <c r="AS14" s="75">
        <f t="shared" si="15"/>
        <v>36875344.829999998</v>
      </c>
      <c r="AT14" s="75">
        <f t="shared" si="15"/>
        <v>52823724.829999998</v>
      </c>
      <c r="AU14" s="75">
        <f t="shared" si="15"/>
        <v>31077778.259999998</v>
      </c>
      <c r="AV14" s="75">
        <f t="shared" si="15"/>
        <v>17206088.609999999</v>
      </c>
      <c r="AW14" s="75">
        <f t="shared" si="15"/>
        <v>17206088.609999999</v>
      </c>
      <c r="AX14" s="75">
        <f t="shared" si="15"/>
        <v>17206088.609999999</v>
      </c>
      <c r="AY14" s="75">
        <f t="shared" si="15"/>
        <v>17806260.609999999</v>
      </c>
      <c r="AZ14" s="75">
        <f t="shared" si="15"/>
        <v>16011510.609999999</v>
      </c>
      <c r="BA14" s="75">
        <f t="shared" si="15"/>
        <v>12884588</v>
      </c>
      <c r="BB14" s="75">
        <f t="shared" si="15"/>
        <v>11686588</v>
      </c>
      <c r="BC14" s="95"/>
      <c r="BD14" s="75">
        <f>+BD15+BD47</f>
        <v>501588</v>
      </c>
      <c r="BE14" s="75">
        <f>SUM(BE15:BE51)</f>
        <v>0</v>
      </c>
      <c r="BF14" s="75">
        <f>SUM(BF15:BF51)</f>
        <v>0</v>
      </c>
      <c r="BG14" s="75">
        <f>SUM(BG15:BG51)</f>
        <v>0</v>
      </c>
      <c r="BH14" s="75">
        <f>SUM(BH15:BH51)</f>
        <v>0</v>
      </c>
      <c r="BI14" s="75">
        <f>SUM(BI15:BI51)</f>
        <v>0</v>
      </c>
      <c r="BJ14" s="87"/>
      <c r="BK14" s="75">
        <f>+BK15+BK47</f>
        <v>0</v>
      </c>
    </row>
    <row r="15" spans="1:65" ht="14.25" thickTop="1" thickBot="1">
      <c r="A15" s="70" t="s">
        <v>173</v>
      </c>
      <c r="B15" s="312">
        <f>SUM(B16:B33)</f>
        <v>49899431</v>
      </c>
      <c r="C15" s="70"/>
      <c r="D15" s="312">
        <f>SUM(D16:D33)</f>
        <v>14105655</v>
      </c>
      <c r="E15" s="312">
        <f>SUM(E16:E33)</f>
        <v>46074189</v>
      </c>
      <c r="F15" s="312">
        <f>SUM(F16:F33)</f>
        <v>36275152</v>
      </c>
      <c r="G15" s="312">
        <f>SUM(G16:G33)</f>
        <v>46174034</v>
      </c>
      <c r="H15" s="312">
        <f t="shared" ref="H15:I15" si="16">SUM(H16:H33)</f>
        <v>33787334</v>
      </c>
      <c r="I15" s="312">
        <f t="shared" si="16"/>
        <v>30341334</v>
      </c>
      <c r="J15" s="312">
        <f t="shared" ref="J15:K15" si="17">SUM(J16:J33)</f>
        <v>29262159</v>
      </c>
      <c r="K15" s="312">
        <f t="shared" si="17"/>
        <v>27169659</v>
      </c>
      <c r="L15" s="312">
        <f t="shared" ref="L15:M15" si="18">SUM(L16:L33)</f>
        <v>28250658</v>
      </c>
      <c r="M15" s="312">
        <f t="shared" si="18"/>
        <v>54474266</v>
      </c>
      <c r="N15" s="312">
        <f t="shared" ref="N15:O15" si="19">SUM(N16:N33)</f>
        <v>27237133</v>
      </c>
      <c r="O15" s="312">
        <f t="shared" si="19"/>
        <v>2080600</v>
      </c>
      <c r="P15" s="70"/>
      <c r="Q15" s="312">
        <f t="shared" ref="Q15:AB15" si="20">SUM(Q16:Q33)</f>
        <v>8811554</v>
      </c>
      <c r="R15" s="312">
        <f t="shared" si="20"/>
        <v>8314574</v>
      </c>
      <c r="S15" s="312">
        <f t="shared" si="20"/>
        <v>9236020</v>
      </c>
      <c r="T15" s="312">
        <f t="shared" si="20"/>
        <v>17757340</v>
      </c>
      <c r="U15" s="312">
        <f t="shared" si="20"/>
        <v>23845283</v>
      </c>
      <c r="V15" s="312">
        <f t="shared" si="20"/>
        <v>24585603</v>
      </c>
      <c r="W15" s="312">
        <f t="shared" si="20"/>
        <v>20801143</v>
      </c>
      <c r="X15" s="312">
        <f t="shared" si="20"/>
        <v>29580543</v>
      </c>
      <c r="Y15" s="312">
        <f t="shared" si="20"/>
        <v>20677783</v>
      </c>
      <c r="Z15" s="312">
        <f t="shared" si="20"/>
        <v>27355183</v>
      </c>
      <c r="AA15" s="312">
        <f t="shared" si="20"/>
        <v>17841223</v>
      </c>
      <c r="AB15" s="312">
        <f t="shared" si="20"/>
        <v>16607923</v>
      </c>
      <c r="AC15" s="70"/>
      <c r="AD15" s="312">
        <f t="shared" ref="AD15:AO15" si="21">SUM(AD16:AD33)</f>
        <v>15737723</v>
      </c>
      <c r="AE15" s="312">
        <f t="shared" si="21"/>
        <v>17267934.129999999</v>
      </c>
      <c r="AF15" s="312">
        <f t="shared" si="21"/>
        <v>21876480.759999998</v>
      </c>
      <c r="AG15" s="312">
        <f t="shared" si="21"/>
        <v>9035880.7599999998</v>
      </c>
      <c r="AH15" s="312">
        <f t="shared" si="21"/>
        <v>15089780.76</v>
      </c>
      <c r="AI15" s="312">
        <f t="shared" si="21"/>
        <v>15577680.76</v>
      </c>
      <c r="AJ15" s="312">
        <f t="shared" si="21"/>
        <v>58168880.759999998</v>
      </c>
      <c r="AK15" s="312">
        <f t="shared" si="21"/>
        <v>52844881</v>
      </c>
      <c r="AL15" s="312">
        <f t="shared" si="21"/>
        <v>4967080.76</v>
      </c>
      <c r="AM15" s="312">
        <f t="shared" si="21"/>
        <v>4037601</v>
      </c>
      <c r="AN15" s="312">
        <f t="shared" si="21"/>
        <v>2268800.7599999998</v>
      </c>
      <c r="AO15" s="312">
        <f t="shared" si="21"/>
        <v>2268800.7599999998</v>
      </c>
      <c r="AP15" s="65"/>
      <c r="AQ15" s="312">
        <f t="shared" ref="AQ15:BB15" si="22">SUM(AQ16:AQ33)</f>
        <v>500000</v>
      </c>
      <c r="AR15" s="312">
        <f t="shared" si="22"/>
        <v>0</v>
      </c>
      <c r="AS15" s="312">
        <f t="shared" si="22"/>
        <v>36093365.829999998</v>
      </c>
      <c r="AT15" s="312">
        <f t="shared" si="22"/>
        <v>52072105.829999998</v>
      </c>
      <c r="AU15" s="312">
        <f t="shared" si="22"/>
        <v>30475506.259999998</v>
      </c>
      <c r="AV15" s="312">
        <f t="shared" si="22"/>
        <v>16676581.609999999</v>
      </c>
      <c r="AW15" s="312">
        <f t="shared" si="22"/>
        <v>16676581.609999999</v>
      </c>
      <c r="AX15" s="312">
        <f t="shared" si="22"/>
        <v>16676581.609999999</v>
      </c>
      <c r="AY15" s="312">
        <f t="shared" si="22"/>
        <v>17276753.609999999</v>
      </c>
      <c r="AZ15" s="312">
        <f t="shared" si="22"/>
        <v>15486041.609999999</v>
      </c>
      <c r="BA15" s="312">
        <f t="shared" si="22"/>
        <v>12380000</v>
      </c>
      <c r="BB15" s="312">
        <f t="shared" si="22"/>
        <v>11190000</v>
      </c>
      <c r="BC15" s="65"/>
      <c r="BD15" s="312">
        <f t="shared" ref="BD15:BI15" si="23">SUM(BD16:BD33)</f>
        <v>0</v>
      </c>
      <c r="BE15" s="312">
        <f t="shared" si="23"/>
        <v>0</v>
      </c>
      <c r="BF15" s="312">
        <f t="shared" si="23"/>
        <v>0</v>
      </c>
      <c r="BG15" s="312">
        <f t="shared" si="23"/>
        <v>0</v>
      </c>
      <c r="BH15" s="312">
        <f t="shared" si="23"/>
        <v>0</v>
      </c>
      <c r="BI15" s="312">
        <f t="shared" si="23"/>
        <v>0</v>
      </c>
      <c r="BJ15" s="65"/>
      <c r="BK15" s="312">
        <f>SUM(BK16:BK33)</f>
        <v>0</v>
      </c>
    </row>
    <row r="16" spans="1:65" ht="13.5" hidden="1" thickTop="1">
      <c r="A16" s="64" t="s">
        <v>174</v>
      </c>
      <c r="B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65"/>
      <c r="AQ16" s="115"/>
      <c r="AR16" s="115"/>
      <c r="AS16" s="115">
        <v>10000000</v>
      </c>
      <c r="AT16" s="115">
        <v>10000000</v>
      </c>
      <c r="AU16" s="115">
        <v>10000000</v>
      </c>
      <c r="AV16" s="115">
        <v>10000000</v>
      </c>
      <c r="AW16" s="115">
        <v>10000000</v>
      </c>
      <c r="AX16" s="115">
        <v>10000000</v>
      </c>
      <c r="AY16" s="115">
        <v>10000000</v>
      </c>
      <c r="AZ16" s="115">
        <v>10000000</v>
      </c>
      <c r="BA16" s="115">
        <v>10000000</v>
      </c>
      <c r="BB16" s="115">
        <v>10000000</v>
      </c>
      <c r="BC16" s="65"/>
      <c r="BD16" s="115"/>
      <c r="BE16" s="115"/>
      <c r="BF16" s="115"/>
      <c r="BG16" s="115"/>
      <c r="BH16" s="115"/>
      <c r="BI16" s="115"/>
      <c r="BJ16" s="65"/>
      <c r="BK16" s="115"/>
    </row>
    <row r="17" spans="1:65" ht="13.5" thickTop="1">
      <c r="A17" s="64" t="s">
        <v>175</v>
      </c>
      <c r="B17" s="144">
        <v>540500</v>
      </c>
      <c r="D17" s="144">
        <v>540500</v>
      </c>
      <c r="E17" s="144">
        <v>540500</v>
      </c>
      <c r="F17" s="144">
        <v>1621500</v>
      </c>
      <c r="G17" s="144">
        <v>1621500</v>
      </c>
      <c r="H17" s="144">
        <f>1137400-37600-18800</f>
        <v>1081000</v>
      </c>
      <c r="I17" s="144">
        <f>1677900-37600-18800</f>
        <v>1621500</v>
      </c>
      <c r="J17" s="144">
        <f>1118600-37600</f>
        <v>1081000</v>
      </c>
      <c r="K17" s="144">
        <v>0</v>
      </c>
      <c r="L17" s="144">
        <v>1081000</v>
      </c>
      <c r="M17" s="144">
        <v>1081000</v>
      </c>
      <c r="N17" s="144">
        <v>540500</v>
      </c>
      <c r="O17" s="144">
        <v>1081000</v>
      </c>
      <c r="Q17" s="144">
        <v>1634354</v>
      </c>
      <c r="R17" s="144">
        <v>1637174</v>
      </c>
      <c r="S17" s="144">
        <v>1559020</v>
      </c>
      <c r="T17" s="144">
        <v>2102340</v>
      </c>
      <c r="U17" s="144">
        <v>2105160</v>
      </c>
      <c r="V17" s="144">
        <v>2107480</v>
      </c>
      <c r="W17" s="144">
        <f>+X17</f>
        <v>1032120</v>
      </c>
      <c r="X17" s="337">
        <v>1032120</v>
      </c>
      <c r="Y17" s="337">
        <f>+Z17</f>
        <v>1075360</v>
      </c>
      <c r="Z17" s="337">
        <f>1081000-2820-2820</f>
        <v>1075360</v>
      </c>
      <c r="AA17" s="337">
        <v>0</v>
      </c>
      <c r="AB17" s="144">
        <v>559300</v>
      </c>
      <c r="AD17" s="144">
        <v>0</v>
      </c>
      <c r="AE17" s="144">
        <v>1119600</v>
      </c>
      <c r="AF17" s="144">
        <v>560300</v>
      </c>
      <c r="AG17" s="144">
        <v>1000</v>
      </c>
      <c r="AH17" s="144"/>
      <c r="AI17" s="144">
        <v>559300</v>
      </c>
      <c r="AJ17" s="144">
        <v>1081000</v>
      </c>
      <c r="AK17" s="144">
        <v>1190000</v>
      </c>
      <c r="AL17" s="144">
        <v>1190000</v>
      </c>
      <c r="AM17" s="144">
        <v>2300000</v>
      </c>
      <c r="AN17" s="144">
        <v>1150000</v>
      </c>
      <c r="AO17" s="144">
        <v>1150000</v>
      </c>
      <c r="AP17" s="65"/>
      <c r="AQ17" s="144">
        <v>0</v>
      </c>
      <c r="AR17" s="144"/>
      <c r="AS17" s="144">
        <v>4060875</v>
      </c>
      <c r="AT17" s="144">
        <v>1353625</v>
      </c>
      <c r="AU17" s="144">
        <v>1353625</v>
      </c>
      <c r="AV17" s="144"/>
      <c r="AW17" s="144"/>
      <c r="AX17" s="144"/>
      <c r="AY17" s="144"/>
      <c r="AZ17" s="144"/>
      <c r="BA17" s="144"/>
      <c r="BB17" s="144"/>
      <c r="BC17" s="65"/>
      <c r="BD17" s="144">
        <v>0</v>
      </c>
      <c r="BE17" s="144"/>
      <c r="BF17" s="144"/>
      <c r="BG17" s="144"/>
      <c r="BH17" s="144"/>
      <c r="BI17" s="144"/>
      <c r="BJ17" s="65"/>
      <c r="BK17" s="144">
        <v>0</v>
      </c>
    </row>
    <row r="18" spans="1:65">
      <c r="A18" s="64" t="s">
        <v>176</v>
      </c>
      <c r="B18" s="144">
        <v>12584000</v>
      </c>
      <c r="D18" s="144">
        <v>12584000</v>
      </c>
      <c r="E18" s="144">
        <v>12584000</v>
      </c>
      <c r="F18" s="144">
        <v>0</v>
      </c>
      <c r="G18" s="144">
        <v>12584000</v>
      </c>
      <c r="H18" s="144">
        <v>0</v>
      </c>
      <c r="I18" s="144">
        <v>0</v>
      </c>
      <c r="J18" s="144">
        <v>0</v>
      </c>
      <c r="K18" s="144">
        <v>0</v>
      </c>
      <c r="L18" s="144">
        <v>0</v>
      </c>
      <c r="M18" s="144">
        <v>0</v>
      </c>
      <c r="N18" s="144">
        <v>0</v>
      </c>
      <c r="O18" s="144">
        <v>0</v>
      </c>
      <c r="Q18" s="144">
        <v>6177600</v>
      </c>
      <c r="R18" s="144">
        <v>6177600</v>
      </c>
      <c r="S18" s="144">
        <v>6177600</v>
      </c>
      <c r="T18" s="144">
        <v>12355200</v>
      </c>
      <c r="U18" s="144">
        <f>6426000-248400</f>
        <v>6177600</v>
      </c>
      <c r="V18" s="144">
        <f>6426000-248400</f>
        <v>6177600</v>
      </c>
      <c r="W18" s="144">
        <f>6426000-248400</f>
        <v>6177600</v>
      </c>
      <c r="X18" s="337">
        <f>12603600-248400</f>
        <v>12355200</v>
      </c>
      <c r="Y18" s="337">
        <f>6426000-248400</f>
        <v>6177600</v>
      </c>
      <c r="Z18" s="144">
        <v>12355200</v>
      </c>
      <c r="AA18" s="337">
        <f>6426000-248400</f>
        <v>6177600</v>
      </c>
      <c r="AB18" s="144">
        <f>6426000-248400</f>
        <v>6177600</v>
      </c>
      <c r="AD18" s="144">
        <v>6426000</v>
      </c>
      <c r="AE18" s="144">
        <v>56400</v>
      </c>
      <c r="AF18" s="144">
        <v>4600000</v>
      </c>
      <c r="AG18" s="144"/>
      <c r="AH18" s="144">
        <v>4576000</v>
      </c>
      <c r="AI18" s="144">
        <v>4576000</v>
      </c>
      <c r="AJ18" s="144">
        <v>4576000</v>
      </c>
      <c r="AK18" s="144"/>
      <c r="AL18" s="144">
        <v>0</v>
      </c>
      <c r="AM18" s="144">
        <v>0</v>
      </c>
      <c r="AN18" s="144">
        <v>0</v>
      </c>
      <c r="AO18" s="144">
        <v>0</v>
      </c>
      <c r="AP18" s="65"/>
      <c r="AQ18" s="144">
        <v>0</v>
      </c>
      <c r="AR18" s="144"/>
      <c r="AS18" s="144">
        <v>10704700</v>
      </c>
      <c r="AT18" s="144">
        <v>29809500</v>
      </c>
      <c r="AU18" s="144">
        <v>9936500</v>
      </c>
      <c r="AV18" s="144"/>
      <c r="AW18" s="144"/>
      <c r="AX18" s="144"/>
      <c r="AY18" s="144"/>
      <c r="AZ18" s="144"/>
      <c r="BA18" s="144"/>
      <c r="BB18" s="144"/>
      <c r="BC18" s="65"/>
      <c r="BD18" s="144">
        <v>0</v>
      </c>
      <c r="BE18" s="144"/>
      <c r="BF18" s="144"/>
      <c r="BG18" s="144"/>
      <c r="BH18" s="144"/>
      <c r="BI18" s="144"/>
      <c r="BJ18" s="65"/>
      <c r="BK18" s="144">
        <v>0</v>
      </c>
    </row>
    <row r="19" spans="1:65">
      <c r="A19" s="64" t="s">
        <v>177</v>
      </c>
      <c r="B19" s="144">
        <v>0</v>
      </c>
      <c r="D19" s="144">
        <v>0</v>
      </c>
      <c r="E19" s="144">
        <v>0</v>
      </c>
      <c r="F19" s="144">
        <v>0</v>
      </c>
      <c r="G19" s="144">
        <v>0</v>
      </c>
      <c r="H19" s="144">
        <v>0</v>
      </c>
      <c r="I19" s="144">
        <v>0</v>
      </c>
      <c r="J19" s="144">
        <v>0</v>
      </c>
      <c r="K19" s="144">
        <v>0</v>
      </c>
      <c r="L19" s="144">
        <v>0</v>
      </c>
      <c r="M19" s="144">
        <v>0</v>
      </c>
      <c r="N19" s="144">
        <v>0</v>
      </c>
      <c r="O19" s="144">
        <v>0</v>
      </c>
      <c r="Q19" s="144">
        <v>0</v>
      </c>
      <c r="R19" s="144">
        <v>0</v>
      </c>
      <c r="S19" s="144">
        <v>0</v>
      </c>
      <c r="T19" s="144">
        <v>0</v>
      </c>
      <c r="U19" s="144">
        <f t="shared" ref="U19:U33" si="24">+V19</f>
        <v>4400000</v>
      </c>
      <c r="V19" s="144">
        <f>+W19</f>
        <v>4400000</v>
      </c>
      <c r="W19" s="144">
        <f>+X19</f>
        <v>4400000</v>
      </c>
      <c r="X19" s="337">
        <f t="shared" ref="X19:X32" si="25">+Y19</f>
        <v>4400000</v>
      </c>
      <c r="Y19" s="337">
        <f>+Z19</f>
        <v>4400000</v>
      </c>
      <c r="Z19" s="337">
        <f>+AA19</f>
        <v>4400000</v>
      </c>
      <c r="AA19" s="337">
        <f>+AB19</f>
        <v>4400000</v>
      </c>
      <c r="AB19" s="144">
        <f>+AD19</f>
        <v>4400000</v>
      </c>
      <c r="AD19" s="144">
        <v>4400000</v>
      </c>
      <c r="AE19" s="144">
        <v>4400000</v>
      </c>
      <c r="AF19" s="144">
        <v>4400000</v>
      </c>
      <c r="AG19" s="144">
        <v>4400000</v>
      </c>
      <c r="AH19" s="144">
        <v>4400000</v>
      </c>
      <c r="AI19" s="144">
        <v>4400000</v>
      </c>
      <c r="AJ19" s="144">
        <v>47600000</v>
      </c>
      <c r="AK19" s="144">
        <v>47600000</v>
      </c>
      <c r="AL19" s="144">
        <v>0</v>
      </c>
      <c r="AM19" s="144">
        <v>0</v>
      </c>
      <c r="AN19" s="144">
        <v>0</v>
      </c>
      <c r="AO19" s="144">
        <v>0</v>
      </c>
      <c r="AP19" s="65"/>
      <c r="AQ19" s="144">
        <v>0</v>
      </c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65"/>
      <c r="BD19" s="144">
        <v>0</v>
      </c>
      <c r="BE19" s="144"/>
      <c r="BF19" s="144"/>
      <c r="BG19" s="144"/>
      <c r="BH19" s="144"/>
      <c r="BI19" s="144"/>
      <c r="BJ19" s="65"/>
      <c r="BK19" s="144">
        <v>0</v>
      </c>
    </row>
    <row r="20" spans="1:65" hidden="1">
      <c r="A20" s="64" t="s">
        <v>178</v>
      </c>
      <c r="B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Q20" s="144"/>
      <c r="R20" s="144"/>
      <c r="S20" s="144"/>
      <c r="T20" s="144"/>
      <c r="U20" s="144">
        <f t="shared" si="24"/>
        <v>0</v>
      </c>
      <c r="V20" s="144"/>
      <c r="W20" s="144"/>
      <c r="X20" s="337">
        <f t="shared" si="25"/>
        <v>0</v>
      </c>
      <c r="Y20" s="337"/>
      <c r="Z20" s="144"/>
      <c r="AA20" s="337"/>
      <c r="AB20" s="144"/>
      <c r="AD20" s="144"/>
      <c r="AE20" s="144"/>
      <c r="AF20" s="144"/>
      <c r="AG20" s="144"/>
      <c r="AH20" s="144"/>
      <c r="AI20" s="144"/>
      <c r="AJ20" s="144"/>
      <c r="AK20" s="144"/>
      <c r="AL20" s="144">
        <v>0</v>
      </c>
      <c r="AM20" s="144">
        <v>0</v>
      </c>
      <c r="AN20" s="144">
        <v>0</v>
      </c>
      <c r="AO20" s="144">
        <v>0</v>
      </c>
      <c r="AP20" s="65"/>
      <c r="AQ20" s="144">
        <v>0</v>
      </c>
      <c r="AR20" s="144"/>
      <c r="AS20" s="144">
        <v>428400</v>
      </c>
      <c r="AT20" s="144">
        <v>428400</v>
      </c>
      <c r="AU20" s="144"/>
      <c r="AV20" s="144"/>
      <c r="AW20" s="144"/>
      <c r="AX20" s="144"/>
      <c r="AY20" s="144"/>
      <c r="AZ20" s="144"/>
      <c r="BA20" s="144"/>
      <c r="BB20" s="144"/>
      <c r="BC20" s="65"/>
      <c r="BD20" s="144">
        <v>0</v>
      </c>
      <c r="BE20" s="144"/>
      <c r="BF20" s="144"/>
      <c r="BG20" s="144"/>
      <c r="BH20" s="144"/>
      <c r="BI20" s="144"/>
      <c r="BJ20" s="65"/>
      <c r="BK20" s="144">
        <v>0</v>
      </c>
    </row>
    <row r="21" spans="1:65">
      <c r="A21" s="64" t="s">
        <v>179</v>
      </c>
      <c r="B21" s="144">
        <v>981155</v>
      </c>
      <c r="D21" s="144">
        <v>981155</v>
      </c>
      <c r="E21" s="144">
        <v>981155</v>
      </c>
      <c r="F21" s="144">
        <v>981155</v>
      </c>
      <c r="G21" s="144">
        <v>0</v>
      </c>
      <c r="H21" s="144">
        <v>0</v>
      </c>
      <c r="I21" s="144">
        <v>0</v>
      </c>
      <c r="J21" s="144">
        <v>473025</v>
      </c>
      <c r="K21" s="144">
        <v>473025</v>
      </c>
      <c r="L21" s="144">
        <v>473025</v>
      </c>
      <c r="M21" s="144"/>
      <c r="N21" s="144"/>
      <c r="O21" s="144"/>
      <c r="Q21" s="144"/>
      <c r="R21" s="144"/>
      <c r="S21" s="144"/>
      <c r="T21" s="144"/>
      <c r="U21" s="144">
        <f t="shared" si="24"/>
        <v>0</v>
      </c>
      <c r="V21" s="144"/>
      <c r="W21" s="144"/>
      <c r="X21" s="337">
        <f t="shared" si="25"/>
        <v>0</v>
      </c>
      <c r="Y21" s="337"/>
      <c r="Z21" s="144"/>
      <c r="AA21" s="337"/>
      <c r="AB21" s="144"/>
      <c r="AD21" s="144">
        <v>0</v>
      </c>
      <c r="AE21" s="144">
        <v>782333.37</v>
      </c>
      <c r="AF21" s="144">
        <v>276080</v>
      </c>
      <c r="AG21" s="144">
        <v>276080</v>
      </c>
      <c r="AH21" s="144">
        <v>276080</v>
      </c>
      <c r="AI21" s="144">
        <v>276080</v>
      </c>
      <c r="AJ21" s="144">
        <v>276080</v>
      </c>
      <c r="AK21" s="144">
        <v>276080</v>
      </c>
      <c r="AL21" s="144">
        <v>276080</v>
      </c>
      <c r="AM21" s="144">
        <v>0</v>
      </c>
      <c r="AN21" s="144">
        <v>0</v>
      </c>
      <c r="AO21" s="144">
        <v>0</v>
      </c>
      <c r="AP21" s="65"/>
      <c r="AQ21" s="144">
        <v>0</v>
      </c>
      <c r="AR21" s="144"/>
      <c r="AS21" s="144">
        <v>24000</v>
      </c>
      <c r="AT21" s="144">
        <v>714000</v>
      </c>
      <c r="AU21" s="144"/>
      <c r="AV21" s="144"/>
      <c r="AW21" s="144"/>
      <c r="AX21" s="144"/>
      <c r="AY21" s="144"/>
      <c r="AZ21" s="144"/>
      <c r="BA21" s="144"/>
      <c r="BB21" s="144"/>
      <c r="BC21" s="65"/>
      <c r="BD21" s="144">
        <v>0</v>
      </c>
      <c r="BE21" s="144"/>
      <c r="BF21" s="144"/>
      <c r="BG21" s="144"/>
      <c r="BH21" s="144"/>
      <c r="BI21" s="144"/>
      <c r="BJ21" s="65"/>
      <c r="BK21" s="144">
        <v>0</v>
      </c>
    </row>
    <row r="22" spans="1:65">
      <c r="A22" s="64" t="s">
        <v>180</v>
      </c>
      <c r="B22" s="144">
        <v>0</v>
      </c>
      <c r="D22" s="144">
        <v>0</v>
      </c>
      <c r="E22" s="144">
        <v>0</v>
      </c>
      <c r="F22" s="144">
        <v>0</v>
      </c>
      <c r="G22" s="144">
        <v>0</v>
      </c>
      <c r="H22" s="144">
        <v>0</v>
      </c>
      <c r="I22" s="144">
        <v>0</v>
      </c>
      <c r="J22" s="144">
        <v>0</v>
      </c>
      <c r="K22" s="144">
        <v>0</v>
      </c>
      <c r="L22" s="144">
        <v>0</v>
      </c>
      <c r="M22" s="144">
        <v>0</v>
      </c>
      <c r="N22" s="144">
        <v>0</v>
      </c>
      <c r="O22" s="144">
        <v>0</v>
      </c>
      <c r="Q22" s="144">
        <v>0</v>
      </c>
      <c r="R22" s="144">
        <v>0</v>
      </c>
      <c r="S22" s="144">
        <v>0</v>
      </c>
      <c r="T22" s="144">
        <v>0</v>
      </c>
      <c r="U22" s="144">
        <f t="shared" si="24"/>
        <v>0</v>
      </c>
      <c r="V22" s="144">
        <f t="shared" ref="V22" si="26">+W22</f>
        <v>0</v>
      </c>
      <c r="W22" s="144">
        <f t="shared" ref="W22" si="27">+X22</f>
        <v>0</v>
      </c>
      <c r="X22" s="144">
        <f t="shared" si="25"/>
        <v>0</v>
      </c>
      <c r="Y22" s="144">
        <f t="shared" ref="Y22" si="28">+Z22</f>
        <v>0</v>
      </c>
      <c r="Z22" s="144">
        <f t="shared" ref="Z22" si="29">+AA22</f>
        <v>0</v>
      </c>
      <c r="AA22" s="144">
        <f t="shared" ref="AA22" si="30">+AB22</f>
        <v>0</v>
      </c>
      <c r="AB22" s="144">
        <f t="shared" ref="AB22:AB23" si="31">+AC22</f>
        <v>0</v>
      </c>
      <c r="AD22" s="144">
        <v>0</v>
      </c>
      <c r="AE22" s="144">
        <v>50000.76</v>
      </c>
      <c r="AF22" s="144">
        <v>50000.76</v>
      </c>
      <c r="AG22" s="144">
        <v>50000.76</v>
      </c>
      <c r="AH22" s="144">
        <v>50000.76</v>
      </c>
      <c r="AI22" s="144">
        <v>50000.76</v>
      </c>
      <c r="AJ22" s="144">
        <v>50000.76</v>
      </c>
      <c r="AK22" s="144">
        <v>50001</v>
      </c>
      <c r="AL22" s="144">
        <v>50000.76</v>
      </c>
      <c r="AM22" s="144">
        <v>500001</v>
      </c>
      <c r="AN22" s="144">
        <v>500000.76</v>
      </c>
      <c r="AO22" s="144">
        <v>500000.76</v>
      </c>
      <c r="AP22" s="65"/>
      <c r="AQ22" s="144">
        <v>500000</v>
      </c>
      <c r="AR22" s="144"/>
      <c r="AS22" s="144">
        <v>499999.92</v>
      </c>
      <c r="AT22" s="144">
        <v>499999.92</v>
      </c>
      <c r="AU22" s="144"/>
      <c r="AV22" s="144"/>
      <c r="AW22" s="144"/>
      <c r="AX22" s="144"/>
      <c r="AY22" s="144"/>
      <c r="AZ22" s="144"/>
      <c r="BA22" s="144"/>
      <c r="BB22" s="144"/>
      <c r="BC22" s="65"/>
      <c r="BD22" s="144">
        <v>0</v>
      </c>
      <c r="BE22" s="144"/>
      <c r="BF22" s="144"/>
      <c r="BG22" s="144"/>
      <c r="BH22" s="144"/>
      <c r="BI22" s="144"/>
      <c r="BJ22" s="65"/>
      <c r="BK22" s="144">
        <v>0</v>
      </c>
    </row>
    <row r="23" spans="1:65" hidden="1">
      <c r="A23" s="339" t="s">
        <v>451</v>
      </c>
      <c r="B23" s="144">
        <v>0</v>
      </c>
      <c r="D23" s="144">
        <v>0</v>
      </c>
      <c r="E23" s="144">
        <v>0</v>
      </c>
      <c r="F23" s="144">
        <v>0</v>
      </c>
      <c r="G23" s="144">
        <v>0</v>
      </c>
      <c r="H23" s="144">
        <v>0</v>
      </c>
      <c r="I23" s="144">
        <v>0</v>
      </c>
      <c r="J23" s="144">
        <v>0</v>
      </c>
      <c r="K23" s="144">
        <v>0</v>
      </c>
      <c r="L23" s="144">
        <v>0</v>
      </c>
      <c r="M23" s="144">
        <v>0</v>
      </c>
      <c r="N23" s="144">
        <v>0</v>
      </c>
      <c r="O23" s="144">
        <v>0</v>
      </c>
      <c r="Q23" s="144">
        <v>0</v>
      </c>
      <c r="R23" s="144">
        <v>0</v>
      </c>
      <c r="S23" s="144">
        <v>0</v>
      </c>
      <c r="T23" s="144">
        <v>0</v>
      </c>
      <c r="U23" s="144">
        <f t="shared" si="24"/>
        <v>1285200</v>
      </c>
      <c r="V23" s="144">
        <f>+W23</f>
        <v>1285200</v>
      </c>
      <c r="W23" s="144">
        <f>+X23</f>
        <v>1285200</v>
      </c>
      <c r="X23" s="337">
        <f t="shared" si="25"/>
        <v>1285200</v>
      </c>
      <c r="Y23" s="337">
        <f>+Z23</f>
        <v>1285200</v>
      </c>
      <c r="Z23" s="144">
        <v>1285200</v>
      </c>
      <c r="AA23" s="337">
        <v>642600</v>
      </c>
      <c r="AB23" s="144">
        <f t="shared" si="31"/>
        <v>0</v>
      </c>
      <c r="AD23" s="144">
        <v>0</v>
      </c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65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65"/>
      <c r="BD23" s="144"/>
      <c r="BE23" s="144"/>
      <c r="BF23" s="144"/>
      <c r="BG23" s="144"/>
      <c r="BH23" s="144"/>
      <c r="BI23" s="144"/>
      <c r="BJ23" s="65"/>
      <c r="BK23" s="144"/>
    </row>
    <row r="24" spans="1:65">
      <c r="A24" s="64" t="s">
        <v>181</v>
      </c>
      <c r="B24" s="144">
        <v>0</v>
      </c>
      <c r="D24" s="144">
        <v>0</v>
      </c>
      <c r="E24" s="144">
        <v>0</v>
      </c>
      <c r="F24" s="144">
        <v>0</v>
      </c>
      <c r="G24" s="144">
        <v>0</v>
      </c>
      <c r="H24" s="144">
        <v>0</v>
      </c>
      <c r="I24" s="144">
        <v>0</v>
      </c>
      <c r="J24" s="144">
        <v>499600</v>
      </c>
      <c r="K24" s="144">
        <v>499600</v>
      </c>
      <c r="L24" s="144">
        <v>499600</v>
      </c>
      <c r="M24" s="144">
        <f>499600+499600</f>
        <v>999200</v>
      </c>
      <c r="N24" s="144">
        <v>499600</v>
      </c>
      <c r="O24" s="144">
        <v>999600</v>
      </c>
      <c r="Q24" s="144">
        <v>999600</v>
      </c>
      <c r="R24" s="144">
        <v>499800</v>
      </c>
      <c r="S24" s="144">
        <v>1499400</v>
      </c>
      <c r="T24" s="144">
        <v>999800</v>
      </c>
      <c r="U24" s="144">
        <f t="shared" si="24"/>
        <v>999600</v>
      </c>
      <c r="V24" s="144">
        <f>499800+499800</f>
        <v>999600</v>
      </c>
      <c r="W24" s="144">
        <v>0</v>
      </c>
      <c r="X24" s="337">
        <v>999600</v>
      </c>
      <c r="Y24" s="337">
        <v>499800</v>
      </c>
      <c r="Z24" s="144">
        <v>999600</v>
      </c>
      <c r="AA24" s="337">
        <v>499800</v>
      </c>
      <c r="AB24" s="144">
        <v>499800</v>
      </c>
      <c r="AD24" s="144">
        <v>499800</v>
      </c>
      <c r="AE24" s="144"/>
      <c r="AF24" s="144">
        <v>499800</v>
      </c>
      <c r="AG24" s="144">
        <v>499800</v>
      </c>
      <c r="AH24" s="144"/>
      <c r="AI24" s="144">
        <v>499800</v>
      </c>
      <c r="AJ24" s="144">
        <v>499800</v>
      </c>
      <c r="AK24" s="144">
        <v>499600</v>
      </c>
      <c r="AL24" s="144">
        <v>499800</v>
      </c>
      <c r="AM24" s="144">
        <v>0</v>
      </c>
      <c r="AN24" s="144">
        <v>0</v>
      </c>
      <c r="AO24" s="144">
        <v>0</v>
      </c>
      <c r="AP24" s="65"/>
      <c r="AQ24" s="144">
        <v>0</v>
      </c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65"/>
      <c r="BD24" s="144">
        <v>0</v>
      </c>
      <c r="BE24" s="144"/>
      <c r="BF24" s="144"/>
      <c r="BG24" s="144"/>
      <c r="BH24" s="144"/>
      <c r="BI24" s="144"/>
      <c r="BJ24" s="65"/>
      <c r="BK24" s="144">
        <v>0</v>
      </c>
      <c r="BM24" s="497"/>
    </row>
    <row r="25" spans="1:65">
      <c r="A25" s="339" t="s">
        <v>449</v>
      </c>
      <c r="B25" s="144">
        <v>0</v>
      </c>
      <c r="D25" s="144">
        <v>0</v>
      </c>
      <c r="E25" s="144">
        <v>0</v>
      </c>
      <c r="F25" s="144">
        <v>0</v>
      </c>
      <c r="G25" s="144">
        <v>0</v>
      </c>
      <c r="H25" s="144">
        <v>0</v>
      </c>
      <c r="I25" s="144">
        <v>0</v>
      </c>
      <c r="J25" s="144">
        <v>0</v>
      </c>
      <c r="K25" s="144">
        <v>0</v>
      </c>
      <c r="L25" s="144">
        <v>0</v>
      </c>
      <c r="M25" s="144">
        <v>0</v>
      </c>
      <c r="N25" s="144">
        <v>0</v>
      </c>
      <c r="O25" s="144">
        <v>0</v>
      </c>
      <c r="Q25" s="144">
        <v>0</v>
      </c>
      <c r="R25" s="144">
        <v>0</v>
      </c>
      <c r="S25" s="144">
        <v>0</v>
      </c>
      <c r="T25" s="144">
        <v>0</v>
      </c>
      <c r="U25" s="144">
        <f t="shared" si="24"/>
        <v>425423</v>
      </c>
      <c r="V25" s="144">
        <v>425423</v>
      </c>
      <c r="W25" s="144">
        <v>425423</v>
      </c>
      <c r="X25" s="337">
        <f t="shared" si="25"/>
        <v>425423</v>
      </c>
      <c r="Y25" s="337">
        <v>425423</v>
      </c>
      <c r="Z25" s="144">
        <v>425423</v>
      </c>
      <c r="AA25" s="337">
        <f>+AB25</f>
        <v>425423</v>
      </c>
      <c r="AB25" s="144">
        <f>+AD25</f>
        <v>425423</v>
      </c>
      <c r="AD25" s="144">
        <v>425423</v>
      </c>
      <c r="AE25" s="144">
        <v>476000</v>
      </c>
      <c r="AF25" s="144">
        <v>476000</v>
      </c>
      <c r="AG25" s="144">
        <v>714000</v>
      </c>
      <c r="AH25" s="144">
        <v>952000</v>
      </c>
      <c r="AI25" s="144">
        <v>952000</v>
      </c>
      <c r="AJ25" s="144">
        <v>952000</v>
      </c>
      <c r="AK25" s="144">
        <v>714000</v>
      </c>
      <c r="AL25" s="144">
        <v>476000</v>
      </c>
      <c r="AM25" s="144">
        <v>0</v>
      </c>
      <c r="AN25" s="144">
        <v>0</v>
      </c>
      <c r="AO25" s="144">
        <v>0</v>
      </c>
      <c r="AP25" s="65"/>
      <c r="AQ25" s="144">
        <v>0</v>
      </c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65"/>
      <c r="BD25" s="144">
        <v>0</v>
      </c>
      <c r="BE25" s="144"/>
      <c r="BF25" s="144"/>
      <c r="BG25" s="144"/>
      <c r="BH25" s="144"/>
      <c r="BI25" s="144"/>
      <c r="BJ25" s="65"/>
      <c r="BK25" s="144">
        <v>0</v>
      </c>
    </row>
    <row r="26" spans="1:65" hidden="1">
      <c r="A26" s="64" t="s">
        <v>182</v>
      </c>
      <c r="B26" s="144">
        <v>0</v>
      </c>
      <c r="D26" s="144">
        <v>0</v>
      </c>
      <c r="E26" s="144">
        <v>0</v>
      </c>
      <c r="F26" s="144">
        <v>0</v>
      </c>
      <c r="G26" s="144">
        <v>0</v>
      </c>
      <c r="H26" s="144">
        <v>0</v>
      </c>
      <c r="I26" s="144">
        <v>0</v>
      </c>
      <c r="J26" s="144">
        <v>0</v>
      </c>
      <c r="K26" s="144">
        <v>0</v>
      </c>
      <c r="L26" s="144">
        <v>0</v>
      </c>
      <c r="M26" s="144">
        <v>0</v>
      </c>
      <c r="N26" s="144">
        <v>0</v>
      </c>
      <c r="O26" s="144">
        <v>0</v>
      </c>
      <c r="Q26" s="144">
        <v>0</v>
      </c>
      <c r="R26" s="144">
        <v>0</v>
      </c>
      <c r="S26" s="144">
        <v>0</v>
      </c>
      <c r="T26" s="144">
        <v>0</v>
      </c>
      <c r="U26" s="144">
        <f t="shared" si="24"/>
        <v>0</v>
      </c>
      <c r="V26" s="144"/>
      <c r="W26" s="144"/>
      <c r="X26" s="337">
        <f t="shared" si="25"/>
        <v>0</v>
      </c>
      <c r="Y26" s="337"/>
      <c r="Z26" s="144"/>
      <c r="AA26" s="337"/>
      <c r="AB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65"/>
      <c r="AQ26" s="144"/>
      <c r="AR26" s="144"/>
      <c r="AS26" s="144">
        <v>700009.3</v>
      </c>
      <c r="AT26" s="144">
        <v>1399999.3</v>
      </c>
      <c r="AU26" s="144">
        <v>699999.65</v>
      </c>
      <c r="AV26" s="144"/>
      <c r="AW26" s="144"/>
      <c r="AX26" s="144"/>
      <c r="AY26" s="144"/>
      <c r="AZ26" s="144"/>
      <c r="BA26" s="144"/>
      <c r="BB26" s="144"/>
      <c r="BC26" s="65"/>
      <c r="BD26" s="144"/>
      <c r="BE26" s="144"/>
      <c r="BF26" s="144"/>
      <c r="BG26" s="144"/>
      <c r="BH26" s="144"/>
      <c r="BI26" s="144"/>
      <c r="BJ26" s="65"/>
      <c r="BK26" s="144"/>
    </row>
    <row r="27" spans="1:65" hidden="1">
      <c r="A27" s="64" t="s">
        <v>183</v>
      </c>
      <c r="B27" s="144">
        <v>0</v>
      </c>
      <c r="D27" s="144">
        <v>0</v>
      </c>
      <c r="E27" s="144">
        <v>0</v>
      </c>
      <c r="F27" s="144">
        <v>0</v>
      </c>
      <c r="G27" s="144">
        <v>0</v>
      </c>
      <c r="H27" s="144">
        <v>0</v>
      </c>
      <c r="I27" s="144">
        <v>0</v>
      </c>
      <c r="J27" s="144">
        <v>0</v>
      </c>
      <c r="K27" s="144">
        <v>0</v>
      </c>
      <c r="L27" s="144">
        <v>0</v>
      </c>
      <c r="M27" s="144">
        <v>0</v>
      </c>
      <c r="N27" s="144">
        <v>0</v>
      </c>
      <c r="O27" s="144">
        <v>0</v>
      </c>
      <c r="Q27" s="144">
        <v>0</v>
      </c>
      <c r="R27" s="144">
        <v>0</v>
      </c>
      <c r="S27" s="144">
        <v>0</v>
      </c>
      <c r="T27" s="144">
        <v>0</v>
      </c>
      <c r="U27" s="144">
        <f t="shared" si="24"/>
        <v>0</v>
      </c>
      <c r="V27" s="144"/>
      <c r="W27" s="144"/>
      <c r="X27" s="337">
        <f t="shared" si="25"/>
        <v>0</v>
      </c>
      <c r="Y27" s="337"/>
      <c r="Z27" s="144"/>
      <c r="AA27" s="337"/>
      <c r="AB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65"/>
      <c r="AQ27" s="144"/>
      <c r="AR27" s="144"/>
      <c r="AS27" s="144">
        <v>1316424.4099999999</v>
      </c>
      <c r="AT27" s="144">
        <v>1316424.4099999999</v>
      </c>
      <c r="AU27" s="144">
        <v>1316424.4099999999</v>
      </c>
      <c r="AV27" s="144">
        <v>1316424.4099999999</v>
      </c>
      <c r="AW27" s="144">
        <v>1316424.4099999999</v>
      </c>
      <c r="AX27" s="144">
        <v>1316424.4099999999</v>
      </c>
      <c r="AY27" s="144">
        <v>1316424.4099999999</v>
      </c>
      <c r="AZ27" s="144">
        <v>1316424.4099999999</v>
      </c>
      <c r="BA27" s="144"/>
      <c r="BB27" s="144"/>
      <c r="BC27" s="65"/>
      <c r="BD27" s="144"/>
      <c r="BE27" s="144"/>
      <c r="BF27" s="144"/>
      <c r="BG27" s="144"/>
      <c r="BH27" s="144"/>
      <c r="BI27" s="144"/>
      <c r="BJ27" s="65"/>
      <c r="BK27" s="144"/>
    </row>
    <row r="28" spans="1:65">
      <c r="A28" s="64" t="s">
        <v>184</v>
      </c>
      <c r="B28" s="144">
        <v>0</v>
      </c>
      <c r="D28" s="144">
        <v>0</v>
      </c>
      <c r="E28" s="144">
        <v>0</v>
      </c>
      <c r="F28" s="144">
        <v>0</v>
      </c>
      <c r="G28" s="144">
        <v>0</v>
      </c>
      <c r="H28" s="144">
        <v>0</v>
      </c>
      <c r="I28" s="144">
        <v>0</v>
      </c>
      <c r="J28" s="144">
        <v>0</v>
      </c>
      <c r="K28" s="144">
        <v>0</v>
      </c>
      <c r="L28" s="144">
        <v>0</v>
      </c>
      <c r="M28" s="144">
        <v>0</v>
      </c>
      <c r="N28" s="144">
        <v>0</v>
      </c>
      <c r="O28" s="144">
        <v>0</v>
      </c>
      <c r="Q28" s="144">
        <v>0</v>
      </c>
      <c r="R28" s="144">
        <v>0</v>
      </c>
      <c r="S28" s="144">
        <v>0</v>
      </c>
      <c r="T28" s="144">
        <v>0</v>
      </c>
      <c r="U28" s="144">
        <f t="shared" si="24"/>
        <v>6152300</v>
      </c>
      <c r="V28" s="144">
        <v>6152300</v>
      </c>
      <c r="W28" s="144">
        <f>+X28</f>
        <v>5593000</v>
      </c>
      <c r="X28" s="337">
        <v>5593000</v>
      </c>
      <c r="Y28" s="337">
        <v>4474400</v>
      </c>
      <c r="Z28" s="144">
        <f>+AA28+1118600</f>
        <v>4474400</v>
      </c>
      <c r="AA28" s="337">
        <f>+AB28</f>
        <v>3355800</v>
      </c>
      <c r="AB28" s="144">
        <f>+AD28+559300</f>
        <v>3355800</v>
      </c>
      <c r="AD28" s="144">
        <v>2796500</v>
      </c>
      <c r="AE28" s="144">
        <v>4213600</v>
      </c>
      <c r="AF28" s="144">
        <v>3654300</v>
      </c>
      <c r="AG28" s="144">
        <v>3095000</v>
      </c>
      <c r="AH28" s="144">
        <v>2535700</v>
      </c>
      <c r="AI28" s="144">
        <v>3114500</v>
      </c>
      <c r="AJ28" s="144">
        <v>3134000</v>
      </c>
      <c r="AK28" s="144">
        <v>2515200</v>
      </c>
      <c r="AL28" s="144">
        <v>2475200</v>
      </c>
      <c r="AM28" s="144">
        <v>1237600</v>
      </c>
      <c r="AN28" s="144">
        <v>618800</v>
      </c>
      <c r="AO28" s="144">
        <v>618800</v>
      </c>
      <c r="AP28" s="65"/>
      <c r="AQ28" s="144">
        <v>0</v>
      </c>
      <c r="AR28" s="144"/>
      <c r="AS28" s="144">
        <v>1218957.2</v>
      </c>
      <c r="AT28" s="144">
        <v>600157.19999999995</v>
      </c>
      <c r="AU28" s="144">
        <v>1218957.2</v>
      </c>
      <c r="AV28" s="144">
        <v>600157.19999999995</v>
      </c>
      <c r="AW28" s="144">
        <v>600157.19999999995</v>
      </c>
      <c r="AX28" s="144">
        <v>600157.19999999995</v>
      </c>
      <c r="AY28" s="144">
        <v>1200329.2</v>
      </c>
      <c r="AZ28" s="144">
        <v>599617.19999999995</v>
      </c>
      <c r="BA28" s="144"/>
      <c r="BB28" s="144"/>
      <c r="BC28" s="65"/>
      <c r="BD28" s="144">
        <v>0</v>
      </c>
      <c r="BE28" s="144"/>
      <c r="BF28" s="144"/>
      <c r="BG28" s="144"/>
      <c r="BH28" s="144"/>
      <c r="BI28" s="144"/>
      <c r="BJ28" s="65"/>
      <c r="BK28" s="144">
        <v>0</v>
      </c>
    </row>
    <row r="29" spans="1:65" hidden="1">
      <c r="A29" s="64" t="s">
        <v>185</v>
      </c>
      <c r="B29" s="144">
        <v>0</v>
      </c>
      <c r="D29" s="144">
        <v>0</v>
      </c>
      <c r="E29" s="144">
        <v>0</v>
      </c>
      <c r="F29" s="144">
        <v>0</v>
      </c>
      <c r="G29" s="144">
        <v>0</v>
      </c>
      <c r="H29" s="144">
        <v>0</v>
      </c>
      <c r="I29" s="144">
        <v>0</v>
      </c>
      <c r="J29" s="144">
        <v>0</v>
      </c>
      <c r="K29" s="144">
        <v>0</v>
      </c>
      <c r="L29" s="144">
        <v>0</v>
      </c>
      <c r="M29" s="144">
        <v>0</v>
      </c>
      <c r="N29" s="144">
        <v>0</v>
      </c>
      <c r="O29" s="144">
        <v>0</v>
      </c>
      <c r="Q29" s="144">
        <v>0</v>
      </c>
      <c r="R29" s="144">
        <v>0</v>
      </c>
      <c r="S29" s="144">
        <v>0</v>
      </c>
      <c r="T29" s="144">
        <v>0</v>
      </c>
      <c r="U29" s="144">
        <f t="shared" si="24"/>
        <v>0</v>
      </c>
      <c r="V29" s="144"/>
      <c r="W29" s="144"/>
      <c r="X29" s="337">
        <f t="shared" si="25"/>
        <v>0</v>
      </c>
      <c r="Y29" s="337">
        <v>0</v>
      </c>
      <c r="Z29" s="144"/>
      <c r="AA29" s="337">
        <v>0</v>
      </c>
      <c r="AB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65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65"/>
      <c r="BD29" s="144"/>
      <c r="BE29" s="144"/>
      <c r="BF29" s="144"/>
      <c r="BG29" s="144"/>
      <c r="BH29" s="144"/>
      <c r="BI29" s="144"/>
      <c r="BJ29" s="65"/>
      <c r="BK29" s="144"/>
    </row>
    <row r="30" spans="1:65">
      <c r="A30" s="64" t="s">
        <v>597</v>
      </c>
      <c r="B30" s="144">
        <v>35793776</v>
      </c>
      <c r="D30" s="144">
        <v>0</v>
      </c>
      <c r="E30" s="144">
        <f>34813534-2845000</f>
        <v>31968534</v>
      </c>
      <c r="F30" s="144">
        <f>34455534-2487000</f>
        <v>31968534</v>
      </c>
      <c r="G30" s="144">
        <f>34186534-2218000</f>
        <v>31968534</v>
      </c>
      <c r="H30" s="144">
        <f>33828534-1860000</f>
        <v>31968534</v>
      </c>
      <c r="I30" s="144">
        <f>30399834-1680000</f>
        <v>28719834</v>
      </c>
      <c r="J30" s="144">
        <f>28660534-1452000</f>
        <v>27208534</v>
      </c>
      <c r="K30" s="144">
        <f>27538034-1341000</f>
        <v>26197034</v>
      </c>
      <c r="L30" s="144">
        <f>27427033-1230000</f>
        <v>26197033</v>
      </c>
      <c r="M30" s="144">
        <f>26197033+N30</f>
        <v>52394066</v>
      </c>
      <c r="N30" s="144">
        <v>26197033</v>
      </c>
      <c r="O30" s="144">
        <v>0</v>
      </c>
      <c r="Q30" s="144">
        <v>0</v>
      </c>
      <c r="R30" s="144"/>
      <c r="S30" s="144"/>
      <c r="T30" s="144"/>
      <c r="U30" s="144"/>
      <c r="V30" s="144"/>
      <c r="W30" s="144"/>
      <c r="X30" s="337"/>
      <c r="Y30" s="337"/>
      <c r="Z30" s="144"/>
      <c r="AA30" s="337"/>
      <c r="AB30" s="144"/>
      <c r="AD30" s="498">
        <v>0</v>
      </c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65"/>
      <c r="AQ30" s="144">
        <v>0</v>
      </c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65"/>
      <c r="BD30" s="144"/>
      <c r="BE30" s="144"/>
      <c r="BF30" s="144"/>
      <c r="BG30" s="144"/>
      <c r="BH30" s="144"/>
      <c r="BI30" s="144"/>
      <c r="BJ30" s="65"/>
      <c r="BK30" s="144"/>
    </row>
    <row r="31" spans="1:65">
      <c r="A31" s="339" t="s">
        <v>591</v>
      </c>
      <c r="B31" s="144">
        <v>0</v>
      </c>
      <c r="D31" s="144">
        <v>0</v>
      </c>
      <c r="E31" s="144">
        <v>0</v>
      </c>
      <c r="F31" s="144">
        <v>737800</v>
      </c>
      <c r="G31" s="144">
        <v>0</v>
      </c>
      <c r="H31" s="144">
        <v>737800</v>
      </c>
      <c r="I31" s="144">
        <v>0</v>
      </c>
      <c r="J31" s="144">
        <v>0</v>
      </c>
      <c r="K31" s="144">
        <v>0</v>
      </c>
      <c r="L31" s="144">
        <v>0</v>
      </c>
      <c r="M31" s="144">
        <v>0</v>
      </c>
      <c r="N31" s="144">
        <v>0</v>
      </c>
      <c r="O31" s="144">
        <v>0</v>
      </c>
      <c r="Q31" s="144">
        <v>0</v>
      </c>
      <c r="R31" s="144">
        <v>0</v>
      </c>
      <c r="S31" s="144">
        <v>0</v>
      </c>
      <c r="T31" s="144">
        <v>0</v>
      </c>
      <c r="U31" s="144">
        <v>0</v>
      </c>
      <c r="V31" s="144">
        <v>738000</v>
      </c>
      <c r="W31" s="144">
        <v>737800</v>
      </c>
      <c r="X31" s="337">
        <f t="shared" si="25"/>
        <v>0</v>
      </c>
      <c r="Y31" s="144">
        <f t="shared" ref="Y31" si="32">+Z31</f>
        <v>0</v>
      </c>
      <c r="Z31" s="144">
        <f t="shared" ref="Z31" si="33">+AA31</f>
        <v>0</v>
      </c>
      <c r="AA31" s="144">
        <f t="shared" ref="AA31" si="34">+AB31</f>
        <v>0</v>
      </c>
      <c r="AB31" s="144">
        <f t="shared" ref="AB31" si="35">+AC31</f>
        <v>0</v>
      </c>
      <c r="AD31" s="144">
        <v>0</v>
      </c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65"/>
      <c r="AQ31" s="144">
        <v>0</v>
      </c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65"/>
      <c r="BD31" s="144"/>
      <c r="BE31" s="144"/>
      <c r="BF31" s="144"/>
      <c r="BG31" s="144"/>
      <c r="BH31" s="144"/>
      <c r="BI31" s="144"/>
      <c r="BJ31" s="65"/>
      <c r="BK31" s="144"/>
    </row>
    <row r="32" spans="1:65" hidden="1">
      <c r="A32" s="64" t="s">
        <v>186</v>
      </c>
      <c r="B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Q32" s="144"/>
      <c r="R32" s="144"/>
      <c r="S32" s="144"/>
      <c r="T32" s="144"/>
      <c r="U32" s="144">
        <f t="shared" si="24"/>
        <v>0</v>
      </c>
      <c r="V32" s="144"/>
      <c r="W32" s="144"/>
      <c r="X32" s="337">
        <f t="shared" si="25"/>
        <v>0</v>
      </c>
      <c r="Y32" s="337"/>
      <c r="Z32" s="144"/>
      <c r="AA32" s="337"/>
      <c r="AB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65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65"/>
      <c r="BD32" s="144"/>
      <c r="BE32" s="144"/>
      <c r="BF32" s="144"/>
      <c r="BG32" s="144"/>
      <c r="BH32" s="144"/>
      <c r="BI32" s="144"/>
      <c r="BJ32" s="65"/>
      <c r="BK32" s="144"/>
    </row>
    <row r="33" spans="1:65" ht="13.5" thickBot="1">
      <c r="A33" s="64" t="s">
        <v>187</v>
      </c>
      <c r="B33" s="144">
        <v>0</v>
      </c>
      <c r="C33" s="64"/>
      <c r="D33" s="144">
        <v>0</v>
      </c>
      <c r="E33" s="144">
        <v>0</v>
      </c>
      <c r="F33" s="144">
        <v>966163</v>
      </c>
      <c r="G33" s="144">
        <v>0</v>
      </c>
      <c r="H33" s="144">
        <v>0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>
        <v>0</v>
      </c>
      <c r="P33" s="64"/>
      <c r="Q33" s="144">
        <v>0</v>
      </c>
      <c r="R33" s="144">
        <v>0</v>
      </c>
      <c r="S33" s="144">
        <v>0</v>
      </c>
      <c r="T33" s="144">
        <f>+U33</f>
        <v>2300000</v>
      </c>
      <c r="U33" s="144">
        <f t="shared" si="24"/>
        <v>2300000</v>
      </c>
      <c r="V33" s="144">
        <v>2300000</v>
      </c>
      <c r="W33" s="144">
        <v>1150000</v>
      </c>
      <c r="X33" s="337">
        <v>3490000</v>
      </c>
      <c r="Y33" s="337">
        <f>+Z33</f>
        <v>2340000</v>
      </c>
      <c r="Z33" s="144">
        <f>+AA33</f>
        <v>2340000</v>
      </c>
      <c r="AA33" s="337">
        <v>2340000</v>
      </c>
      <c r="AB33" s="144">
        <v>1190000</v>
      </c>
      <c r="AC33" s="64"/>
      <c r="AD33" s="144">
        <v>1190000</v>
      </c>
      <c r="AE33" s="144">
        <v>6170000</v>
      </c>
      <c r="AF33" s="144">
        <v>7360000</v>
      </c>
      <c r="AG33" s="144"/>
      <c r="AH33" s="144">
        <v>2300000</v>
      </c>
      <c r="AI33" s="144">
        <v>1150000</v>
      </c>
      <c r="AJ33" s="144"/>
      <c r="AK33" s="144"/>
      <c r="AL33" s="144"/>
      <c r="AM33" s="144"/>
      <c r="AN33" s="144"/>
      <c r="AO33" s="144"/>
      <c r="AP33" s="65"/>
      <c r="AQ33" s="144">
        <v>0</v>
      </c>
      <c r="AR33" s="144"/>
      <c r="AS33" s="144">
        <v>7140000</v>
      </c>
      <c r="AT33" s="144">
        <v>5950000</v>
      </c>
      <c r="AU33" s="144">
        <v>5950000</v>
      </c>
      <c r="AV33" s="144">
        <v>4760000</v>
      </c>
      <c r="AW33" s="144">
        <v>4760000</v>
      </c>
      <c r="AX33" s="144">
        <v>4760000</v>
      </c>
      <c r="AY33" s="144">
        <v>4760000</v>
      </c>
      <c r="AZ33" s="144">
        <v>3570000</v>
      </c>
      <c r="BA33" s="144">
        <v>2380000</v>
      </c>
      <c r="BB33" s="144">
        <v>1190000</v>
      </c>
      <c r="BC33" s="65"/>
      <c r="BD33" s="144">
        <v>0</v>
      </c>
      <c r="BE33" s="144"/>
      <c r="BF33" s="144"/>
      <c r="BG33" s="144"/>
      <c r="BH33" s="144"/>
      <c r="BI33" s="144"/>
      <c r="BJ33" s="65"/>
      <c r="BK33" s="144">
        <v>0</v>
      </c>
    </row>
    <row r="34" spans="1:65" ht="13.5" hidden="1" thickBot="1">
      <c r="A34" s="70" t="s">
        <v>188</v>
      </c>
      <c r="B34" s="136"/>
      <c r="C34" s="70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70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70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D34" s="136"/>
      <c r="BE34" s="136"/>
      <c r="BF34" s="136"/>
      <c r="BG34" s="136"/>
      <c r="BH34" s="136"/>
      <c r="BI34" s="136"/>
      <c r="BK34" s="136"/>
    </row>
    <row r="35" spans="1:65" ht="14.25" hidden="1" thickTop="1" thickBot="1">
      <c r="A35" s="64" t="s">
        <v>189</v>
      </c>
      <c r="B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65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65"/>
      <c r="BD35" s="102"/>
      <c r="BE35" s="102"/>
      <c r="BF35" s="102"/>
      <c r="BG35" s="102"/>
      <c r="BH35" s="102"/>
      <c r="BI35" s="102"/>
      <c r="BJ35" s="94"/>
      <c r="BK35" s="102"/>
    </row>
    <row r="36" spans="1:65" ht="14.25" hidden="1" thickTop="1" thickBot="1">
      <c r="A36" s="142" t="s">
        <v>190</v>
      </c>
      <c r="B36" s="102"/>
      <c r="C36" s="14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4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4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65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65"/>
      <c r="BD36" s="102"/>
      <c r="BE36" s="102"/>
      <c r="BF36" s="102"/>
      <c r="BG36" s="102"/>
      <c r="BH36" s="102"/>
      <c r="BI36" s="102"/>
      <c r="BJ36" s="65"/>
      <c r="BK36" s="102"/>
    </row>
    <row r="37" spans="1:65" ht="14.25" hidden="1" thickTop="1" thickBot="1">
      <c r="A37" s="64" t="s">
        <v>191</v>
      </c>
      <c r="B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65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65"/>
      <c r="BD37" s="102"/>
      <c r="BE37" s="102"/>
      <c r="BF37" s="102"/>
      <c r="BG37" s="102"/>
      <c r="BH37" s="102"/>
      <c r="BI37" s="102"/>
      <c r="BJ37" s="65">
        <v>0</v>
      </c>
      <c r="BK37" s="102">
        <v>0</v>
      </c>
    </row>
    <row r="38" spans="1:65" ht="13.5" hidden="1" thickBot="1">
      <c r="A38" s="70" t="s">
        <v>192</v>
      </c>
      <c r="B38" s="136"/>
      <c r="C38" s="70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70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70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D38" s="136"/>
      <c r="BE38" s="136"/>
      <c r="BF38" s="136"/>
      <c r="BG38" s="136"/>
      <c r="BH38" s="136"/>
      <c r="BI38" s="136"/>
      <c r="BK38" s="136"/>
    </row>
    <row r="39" spans="1:65" ht="14.25" hidden="1" thickTop="1" thickBot="1">
      <c r="A39" s="64" t="s">
        <v>193</v>
      </c>
      <c r="B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65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65"/>
      <c r="BD39" s="102"/>
      <c r="BE39" s="102"/>
      <c r="BF39" s="102"/>
      <c r="BG39" s="102"/>
      <c r="BH39" s="102"/>
      <c r="BI39" s="102"/>
      <c r="BJ39" s="94"/>
      <c r="BK39" s="102"/>
    </row>
    <row r="40" spans="1:65" ht="14.25" thickTop="1" thickBot="1">
      <c r="A40" s="70" t="s">
        <v>194</v>
      </c>
      <c r="B40" s="312">
        <f>SUM(B41:B46)</f>
        <v>0</v>
      </c>
      <c r="C40" s="70"/>
      <c r="D40" s="312">
        <f>SUM(D41:D46)</f>
        <v>752100</v>
      </c>
      <c r="E40" s="312">
        <f>SUM(E41:E46)</f>
        <v>7800000</v>
      </c>
      <c r="F40" s="312">
        <f>SUM(F41:F46)</f>
        <v>1800000</v>
      </c>
      <c r="G40" s="312">
        <f t="shared" ref="G40:N40" si="36">+G41</f>
        <v>0</v>
      </c>
      <c r="H40" s="312">
        <f>+H41</f>
        <v>0</v>
      </c>
      <c r="I40" s="312">
        <f>+I41</f>
        <v>0</v>
      </c>
      <c r="J40" s="312">
        <f>+J41</f>
        <v>0</v>
      </c>
      <c r="K40" s="312">
        <f>+K41</f>
        <v>0</v>
      </c>
      <c r="L40" s="312">
        <f t="shared" si="36"/>
        <v>600000</v>
      </c>
      <c r="M40" s="312">
        <f t="shared" si="36"/>
        <v>0</v>
      </c>
      <c r="N40" s="312">
        <f t="shared" si="36"/>
        <v>70210</v>
      </c>
      <c r="O40" s="312">
        <v>0</v>
      </c>
      <c r="P40" s="70"/>
      <c r="Q40" s="312">
        <v>0</v>
      </c>
      <c r="R40" s="312"/>
      <c r="S40" s="312"/>
      <c r="T40" s="312"/>
      <c r="U40" s="312"/>
      <c r="V40" s="312"/>
      <c r="W40" s="312"/>
      <c r="X40" s="312"/>
      <c r="Y40" s="312"/>
      <c r="Z40" s="312"/>
      <c r="AA40" s="312"/>
      <c r="AB40" s="312"/>
      <c r="AC40" s="70"/>
      <c r="AD40" s="312">
        <v>0</v>
      </c>
      <c r="AE40" s="312"/>
      <c r="AF40" s="312"/>
      <c r="AG40" s="312"/>
      <c r="AH40" s="312"/>
      <c r="AI40" s="312"/>
      <c r="AJ40" s="312"/>
      <c r="AK40" s="312"/>
      <c r="AL40" s="312"/>
      <c r="AM40" s="312"/>
      <c r="AN40" s="312"/>
      <c r="AO40" s="312"/>
      <c r="AP40" s="65"/>
      <c r="AQ40" s="312">
        <v>0</v>
      </c>
      <c r="AR40" s="312"/>
      <c r="AS40" s="312"/>
      <c r="AT40" s="312"/>
      <c r="AU40" s="312"/>
      <c r="AV40" s="312"/>
      <c r="AW40" s="312"/>
      <c r="AX40" s="312"/>
      <c r="AY40" s="312"/>
      <c r="AZ40" s="312"/>
      <c r="BA40" s="312"/>
      <c r="BB40" s="312"/>
      <c r="BC40" s="65"/>
      <c r="BD40" s="312"/>
      <c r="BE40" s="312"/>
      <c r="BF40" s="312"/>
      <c r="BG40" s="312"/>
      <c r="BH40" s="312"/>
      <c r="BI40" s="312"/>
      <c r="BJ40" s="65"/>
      <c r="BK40" s="312"/>
    </row>
    <row r="41" spans="1:65" ht="14.25" thickTop="1" thickBot="1">
      <c r="A41" s="64" t="s">
        <v>598</v>
      </c>
      <c r="B41" s="144"/>
      <c r="D41" s="144"/>
      <c r="E41" s="144"/>
      <c r="F41" s="144"/>
      <c r="G41" s="144"/>
      <c r="H41" s="144"/>
      <c r="I41" s="144"/>
      <c r="J41" s="144"/>
      <c r="K41" s="144"/>
      <c r="L41" s="144">
        <v>600000</v>
      </c>
      <c r="M41" s="144">
        <v>0</v>
      </c>
      <c r="N41" s="144">
        <v>70210</v>
      </c>
      <c r="O41" s="144">
        <v>0</v>
      </c>
      <c r="Q41" s="144">
        <v>0</v>
      </c>
      <c r="R41" s="144"/>
      <c r="S41" s="144"/>
      <c r="T41" s="144"/>
      <c r="U41" s="144"/>
      <c r="V41" s="144"/>
      <c r="W41" s="144"/>
      <c r="X41" s="337"/>
      <c r="Y41" s="144"/>
      <c r="Z41" s="144"/>
      <c r="AA41" s="144"/>
      <c r="AB41" s="144"/>
      <c r="AD41" s="144">
        <v>0</v>
      </c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54"/>
      <c r="AQ41" s="144">
        <v>0</v>
      </c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65"/>
      <c r="BD41" s="102"/>
      <c r="BE41" s="102"/>
      <c r="BF41" s="102"/>
      <c r="BG41" s="102"/>
      <c r="BH41" s="102"/>
      <c r="BI41" s="102"/>
      <c r="BJ41" s="65"/>
      <c r="BK41" s="102"/>
      <c r="BM41" s="492"/>
    </row>
    <row r="42" spans="1:65" ht="14.25" hidden="1" thickTop="1" thickBot="1">
      <c r="A42" s="70" t="s">
        <v>195</v>
      </c>
      <c r="B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Q42" s="144"/>
      <c r="R42" s="144"/>
      <c r="S42" s="144"/>
      <c r="T42" s="144"/>
      <c r="U42" s="144"/>
      <c r="V42" s="144"/>
      <c r="W42" s="144"/>
      <c r="X42" s="337"/>
      <c r="Y42" s="144"/>
      <c r="Z42" s="144"/>
      <c r="AA42" s="144"/>
      <c r="AB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54"/>
      <c r="AQ42" s="144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5"/>
      <c r="BD42" s="143"/>
      <c r="BE42" s="143"/>
      <c r="BF42" s="143"/>
      <c r="BG42" s="143"/>
      <c r="BH42" s="143"/>
      <c r="BI42" s="143"/>
      <c r="BJ42" s="145"/>
      <c r="BK42" s="143"/>
    </row>
    <row r="43" spans="1:65" ht="14.25" hidden="1" thickTop="1" thickBot="1">
      <c r="B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Q43" s="144"/>
      <c r="R43" s="144"/>
      <c r="S43" s="144"/>
      <c r="T43" s="144"/>
      <c r="U43" s="144"/>
      <c r="V43" s="144"/>
      <c r="W43" s="144"/>
      <c r="X43" s="337"/>
      <c r="Y43" s="144"/>
      <c r="Z43" s="144"/>
      <c r="AA43" s="144"/>
      <c r="AB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54"/>
      <c r="AQ43" s="144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65"/>
      <c r="BD43" s="102"/>
      <c r="BE43" s="102"/>
      <c r="BF43" s="102"/>
      <c r="BG43" s="102"/>
      <c r="BH43" s="102"/>
      <c r="BI43" s="102"/>
      <c r="BJ43" s="65"/>
      <c r="BK43" s="102"/>
    </row>
    <row r="44" spans="1:65" ht="14.25" hidden="1" thickTop="1" thickBot="1">
      <c r="B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Q44" s="144"/>
      <c r="R44" s="144"/>
      <c r="S44" s="144"/>
      <c r="T44" s="144"/>
      <c r="U44" s="144"/>
      <c r="V44" s="144"/>
      <c r="W44" s="144"/>
      <c r="X44" s="337"/>
      <c r="Y44" s="144"/>
      <c r="Z44" s="144"/>
      <c r="AA44" s="144"/>
      <c r="AB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54"/>
      <c r="AQ44" s="144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65"/>
      <c r="BD44" s="102"/>
      <c r="BE44" s="102"/>
      <c r="BF44" s="102"/>
      <c r="BG44" s="102"/>
      <c r="BH44" s="102"/>
      <c r="BI44" s="102"/>
      <c r="BJ44" s="65"/>
      <c r="BK44" s="102"/>
    </row>
    <row r="45" spans="1:65" ht="14.25" thickTop="1" thickBot="1">
      <c r="A45" s="64" t="s">
        <v>628</v>
      </c>
      <c r="B45" s="144">
        <v>0</v>
      </c>
      <c r="D45" s="144">
        <v>752100</v>
      </c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Q45" s="144">
        <v>0</v>
      </c>
      <c r="R45" s="144"/>
      <c r="S45" s="144"/>
      <c r="T45" s="144"/>
      <c r="U45" s="144"/>
      <c r="V45" s="144"/>
      <c r="W45" s="144"/>
      <c r="X45" s="337"/>
      <c r="Y45" s="144"/>
      <c r="Z45" s="144"/>
      <c r="AA45" s="144"/>
      <c r="AB45" s="144"/>
      <c r="AD45" s="144">
        <v>0</v>
      </c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54"/>
      <c r="AQ45" s="144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65"/>
      <c r="BD45" s="102"/>
      <c r="BE45" s="102"/>
      <c r="BF45" s="102"/>
      <c r="BG45" s="102"/>
      <c r="BH45" s="102"/>
      <c r="BI45" s="102"/>
      <c r="BJ45" s="65"/>
      <c r="BK45" s="102"/>
    </row>
    <row r="46" spans="1:65" ht="14.25" hidden="1" thickTop="1" thickBot="1">
      <c r="A46" s="64" t="s">
        <v>622</v>
      </c>
      <c r="B46" s="500">
        <v>0</v>
      </c>
      <c r="D46" s="500">
        <v>0</v>
      </c>
      <c r="E46" s="144">
        <f>1800000+6000000</f>
        <v>7800000</v>
      </c>
      <c r="F46" s="144">
        <v>1800000</v>
      </c>
      <c r="G46" s="144"/>
      <c r="H46" s="144"/>
      <c r="I46" s="144"/>
      <c r="J46" s="144"/>
      <c r="K46" s="144"/>
      <c r="L46" s="144"/>
      <c r="M46" s="144"/>
      <c r="N46" s="144"/>
      <c r="O46" s="144"/>
      <c r="Q46" s="144"/>
      <c r="R46" s="144"/>
      <c r="S46" s="144"/>
      <c r="T46" s="144"/>
      <c r="U46" s="144"/>
      <c r="V46" s="144"/>
      <c r="W46" s="144"/>
      <c r="X46" s="337"/>
      <c r="Y46" s="144"/>
      <c r="Z46" s="144"/>
      <c r="AA46" s="144"/>
      <c r="AB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54"/>
      <c r="AQ46" s="144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65"/>
      <c r="BD46" s="102"/>
      <c r="BE46" s="102"/>
      <c r="BF46" s="102"/>
      <c r="BG46" s="102"/>
      <c r="BH46" s="102"/>
      <c r="BI46" s="102"/>
      <c r="BJ46" s="65"/>
      <c r="BK46" s="102"/>
    </row>
    <row r="47" spans="1:65" ht="14.25" thickTop="1" thickBot="1">
      <c r="A47" s="70" t="s">
        <v>196</v>
      </c>
      <c r="B47" s="312">
        <f>SUM(B48:B53)</f>
        <v>10651126.694</v>
      </c>
      <c r="C47" s="70"/>
      <c r="D47" s="312">
        <f>SUM(D48:D53)</f>
        <v>11497870.694</v>
      </c>
      <c r="E47" s="312">
        <f>SUM(E48:E53)</f>
        <v>9820487.6940000001</v>
      </c>
      <c r="F47" s="312">
        <f>SUM(F48:F53)</f>
        <v>8461808.6940000001</v>
      </c>
      <c r="G47" s="312">
        <f>SUM(G48:G53)</f>
        <v>7206604.6940000001</v>
      </c>
      <c r="H47" s="312">
        <f>SUM(H48:H53)</f>
        <v>5832461.6940000001</v>
      </c>
      <c r="I47" s="312">
        <f t="shared" ref="I47:O47" si="37">SUM(I48:I53)</f>
        <v>5311258.6940000001</v>
      </c>
      <c r="J47" s="312">
        <f>SUM(J48:J53)</f>
        <v>4727595.6940000001</v>
      </c>
      <c r="K47" s="312">
        <f>SUM(K48:K53)</f>
        <v>4262212.6940000001</v>
      </c>
      <c r="L47" s="312">
        <f t="shared" si="37"/>
        <v>8264216.6940000001</v>
      </c>
      <c r="M47" s="312">
        <f t="shared" si="37"/>
        <v>6713400.6940000001</v>
      </c>
      <c r="N47" s="312">
        <f t="shared" si="37"/>
        <v>6350767.6940000001</v>
      </c>
      <c r="O47" s="312">
        <f t="shared" si="37"/>
        <v>6062914.6940000001</v>
      </c>
      <c r="P47" s="70"/>
      <c r="Q47" s="312">
        <f>SUM(Q48:Q53)</f>
        <v>6447325.1195200551</v>
      </c>
      <c r="R47" s="312">
        <f t="shared" ref="R47:AB47" si="38">SUM(R48:R53)</f>
        <v>6101294.8195200581</v>
      </c>
      <c r="S47" s="312">
        <f t="shared" si="38"/>
        <v>5750869.9795200545</v>
      </c>
      <c r="T47" s="312">
        <f t="shared" si="38"/>
        <v>5404839.979520062</v>
      </c>
      <c r="U47" s="312">
        <f t="shared" si="38"/>
        <v>5058809.6940000001</v>
      </c>
      <c r="V47" s="312">
        <f t="shared" si="38"/>
        <v>4661779.5095200632</v>
      </c>
      <c r="W47" s="312">
        <f t="shared" si="38"/>
        <v>4228169.8695200551</v>
      </c>
      <c r="X47" s="312">
        <f t="shared" si="38"/>
        <v>3862550.0295200511</v>
      </c>
      <c r="Y47" s="312">
        <f t="shared" si="38"/>
        <v>6562113.0735200495</v>
      </c>
      <c r="Z47" s="312">
        <f t="shared" si="38"/>
        <v>6190553.0735200495</v>
      </c>
      <c r="AA47" s="312">
        <f t="shared" si="38"/>
        <v>5745833</v>
      </c>
      <c r="AB47" s="312">
        <f t="shared" si="38"/>
        <v>5374273</v>
      </c>
      <c r="AC47" s="70"/>
      <c r="AD47" s="312">
        <f t="shared" ref="AD47" si="39">SUM(AD48:AD53)</f>
        <v>5103417.3059999999</v>
      </c>
      <c r="AE47" s="312">
        <f t="shared" ref="AE47" si="40">SUM(AE48:AE53)</f>
        <v>4765667.3059999999</v>
      </c>
      <c r="AF47" s="312">
        <f t="shared" ref="AF47" si="41">SUM(AF48:AF53)</f>
        <v>4380307.3059999999</v>
      </c>
      <c r="AG47" s="312">
        <f t="shared" ref="AG47" si="42">SUM(AG48:AG53)</f>
        <v>3878887.6529999999</v>
      </c>
      <c r="AH47" s="312">
        <f t="shared" ref="AH47" si="43">SUM(AH48:AH53)</f>
        <v>3706628</v>
      </c>
      <c r="AI47" s="312">
        <f t="shared" ref="AI47" si="44">SUM(AI48:AI53)</f>
        <v>3427628</v>
      </c>
      <c r="AJ47" s="312">
        <f t="shared" ref="AJ47" si="45">SUM(AJ48:AJ53)</f>
        <v>3133668</v>
      </c>
      <c r="AK47" s="312">
        <f t="shared" ref="AK47" si="46">SUM(AK48:AK53)</f>
        <v>2794188</v>
      </c>
      <c r="AL47" s="312">
        <f t="shared" ref="AL47" si="47">SUM(AL48:AL53)</f>
        <v>2292848</v>
      </c>
      <c r="AM47" s="312">
        <f t="shared" ref="AM47" si="48">SUM(AM48:AM53)</f>
        <v>1903095</v>
      </c>
      <c r="AN47" s="312">
        <f t="shared" ref="AN47" si="49">SUM(AN48:AN53)</f>
        <v>1850935</v>
      </c>
      <c r="AO47" s="312">
        <f t="shared" ref="AO47" si="50">SUM(AO48:AO53)</f>
        <v>1765095</v>
      </c>
      <c r="AP47" s="65"/>
      <c r="AQ47" s="312">
        <f t="shared" ref="AQ47" si="51">SUM(AQ48:AQ53)</f>
        <v>2043848</v>
      </c>
      <c r="AR47" s="312">
        <f t="shared" ref="AR47" si="52">SUM(AR48:AR53)</f>
        <v>797739</v>
      </c>
      <c r="AS47" s="312">
        <f t="shared" ref="AS47" si="53">SUM(AS48:AS53)</f>
        <v>781979</v>
      </c>
      <c r="AT47" s="312">
        <f t="shared" ref="AT47" si="54">SUM(AT48:AT53)</f>
        <v>751619</v>
      </c>
      <c r="AU47" s="312">
        <f t="shared" ref="AU47" si="55">SUM(AU48:AU53)</f>
        <v>602272</v>
      </c>
      <c r="AV47" s="312">
        <f t="shared" ref="AV47" si="56">SUM(AV48:AV53)</f>
        <v>529507</v>
      </c>
      <c r="AW47" s="312">
        <f t="shared" ref="AW47" si="57">SUM(AW48:AW53)</f>
        <v>529507</v>
      </c>
      <c r="AX47" s="312">
        <f t="shared" ref="AX47" si="58">SUM(AX48:AX53)</f>
        <v>529507</v>
      </c>
      <c r="AY47" s="312">
        <f t="shared" ref="AY47" si="59">SUM(AY48:AY53)</f>
        <v>529507</v>
      </c>
      <c r="AZ47" s="312">
        <f t="shared" ref="AZ47" si="60">SUM(AZ48:AZ53)</f>
        <v>525469</v>
      </c>
      <c r="BA47" s="312">
        <f t="shared" ref="BA47" si="61">SUM(BA48:BA53)</f>
        <v>504588</v>
      </c>
      <c r="BB47" s="312">
        <f t="shared" ref="BB47" si="62">SUM(BB48:BB53)</f>
        <v>496588</v>
      </c>
      <c r="BC47" s="65"/>
      <c r="BD47" s="312">
        <f t="shared" ref="BD47" si="63">SUM(BD48:BD53)</f>
        <v>501588</v>
      </c>
      <c r="BE47" s="312">
        <f t="shared" ref="BE47" si="64">SUM(BE48:BE53)</f>
        <v>0</v>
      </c>
      <c r="BF47" s="312">
        <f t="shared" ref="BF47" si="65">SUM(BF48:BF53)</f>
        <v>0</v>
      </c>
      <c r="BG47" s="312">
        <f t="shared" ref="BG47" si="66">SUM(BG48:BG53)</f>
        <v>0</v>
      </c>
      <c r="BH47" s="312">
        <f t="shared" ref="BH47" si="67">SUM(BH48:BH53)</f>
        <v>0</v>
      </c>
      <c r="BI47" s="312">
        <f t="shared" ref="BI47" si="68">SUM(BI48:BI53)</f>
        <v>0</v>
      </c>
      <c r="BJ47" s="65"/>
      <c r="BK47" s="312">
        <f t="shared" ref="BK47" si="69">SUM(BK48:BK53)</f>
        <v>0</v>
      </c>
    </row>
    <row r="48" spans="1:65" ht="13.5" thickTop="1">
      <c r="A48" s="64" t="s">
        <v>197</v>
      </c>
      <c r="B48" s="144">
        <f>+D48</f>
        <v>1604000</v>
      </c>
      <c r="D48" s="144">
        <f t="shared" ref="D48:H48" si="70">+E48</f>
        <v>1604000</v>
      </c>
      <c r="E48" s="144">
        <f t="shared" si="70"/>
        <v>1604000</v>
      </c>
      <c r="F48" s="144">
        <f t="shared" si="70"/>
        <v>1604000</v>
      </c>
      <c r="G48" s="144">
        <f t="shared" si="70"/>
        <v>1604000</v>
      </c>
      <c r="H48" s="144">
        <f t="shared" si="70"/>
        <v>1604000</v>
      </c>
      <c r="I48" s="144">
        <f>+J48</f>
        <v>1604000</v>
      </c>
      <c r="J48" s="144">
        <v>1604000</v>
      </c>
      <c r="K48" s="144">
        <v>1604000</v>
      </c>
      <c r="L48" s="144">
        <f t="shared" ref="L48:N48" si="71">+M48</f>
        <v>1857000</v>
      </c>
      <c r="M48" s="144">
        <f t="shared" si="71"/>
        <v>1857000</v>
      </c>
      <c r="N48" s="144">
        <f t="shared" si="71"/>
        <v>1857000</v>
      </c>
      <c r="O48" s="144">
        <f>+Q48</f>
        <v>1857000</v>
      </c>
      <c r="Q48" s="144">
        <f>+R48</f>
        <v>1857000</v>
      </c>
      <c r="R48" s="144">
        <f>+S48</f>
        <v>1857000</v>
      </c>
      <c r="S48" s="144">
        <v>1857000</v>
      </c>
      <c r="T48" s="144">
        <v>1857000</v>
      </c>
      <c r="U48" s="144">
        <v>1857000</v>
      </c>
      <c r="V48" s="144">
        <v>1857000</v>
      </c>
      <c r="W48" s="144">
        <f>+X48</f>
        <v>1857000</v>
      </c>
      <c r="X48" s="144">
        <f>1857000</f>
        <v>1857000</v>
      </c>
      <c r="Y48" s="144">
        <v>1906000</v>
      </c>
      <c r="Z48" s="144">
        <v>1906000</v>
      </c>
      <c r="AA48" s="144">
        <v>1906000</v>
      </c>
      <c r="AB48" s="144">
        <v>1906000</v>
      </c>
      <c r="AD48" s="144">
        <v>1906000</v>
      </c>
      <c r="AE48" s="144">
        <v>1906000</v>
      </c>
      <c r="AF48" s="144">
        <v>1906000</v>
      </c>
      <c r="AG48" s="144">
        <v>1906000</v>
      </c>
      <c r="AH48" s="144">
        <v>1906000</v>
      </c>
      <c r="AI48" s="144">
        <v>1906000</v>
      </c>
      <c r="AJ48" s="144">
        <v>1906000</v>
      </c>
      <c r="AK48" s="144">
        <v>1906000</v>
      </c>
      <c r="AL48" s="144">
        <v>1906000</v>
      </c>
      <c r="AM48" s="144">
        <v>135000</v>
      </c>
      <c r="AN48" s="144">
        <v>135000</v>
      </c>
      <c r="AO48" s="144">
        <v>135000</v>
      </c>
      <c r="AP48" s="94"/>
      <c r="AQ48" s="144">
        <v>135000</v>
      </c>
      <c r="AR48" s="144">
        <v>135000</v>
      </c>
      <c r="AS48" s="144">
        <v>135000</v>
      </c>
      <c r="AT48" s="144">
        <v>135000</v>
      </c>
      <c r="AU48" s="144">
        <v>135000</v>
      </c>
      <c r="AV48" s="144">
        <v>135000</v>
      </c>
      <c r="AW48" s="144">
        <v>135000</v>
      </c>
      <c r="AX48" s="144">
        <v>135000</v>
      </c>
      <c r="AY48" s="144">
        <v>135000</v>
      </c>
      <c r="AZ48" s="144">
        <v>135000</v>
      </c>
      <c r="BA48" s="144">
        <v>135000</v>
      </c>
      <c r="BB48" s="144">
        <v>135000</v>
      </c>
      <c r="BC48" s="94"/>
      <c r="BD48" s="144">
        <v>0</v>
      </c>
      <c r="BE48" s="144"/>
      <c r="BF48" s="144"/>
      <c r="BG48" s="144"/>
      <c r="BH48" s="144"/>
      <c r="BI48" s="144"/>
      <c r="BJ48" s="94"/>
      <c r="BK48" s="144"/>
    </row>
    <row r="49" spans="1:65" hidden="1">
      <c r="A49" s="64" t="s">
        <v>627</v>
      </c>
      <c r="B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9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94"/>
      <c r="BD49" s="144"/>
      <c r="BE49" s="144"/>
      <c r="BF49" s="144"/>
      <c r="BG49" s="144"/>
      <c r="BH49" s="144"/>
      <c r="BI49" s="144"/>
      <c r="BJ49" s="94"/>
      <c r="BK49" s="144"/>
    </row>
    <row r="50" spans="1:65">
      <c r="A50" s="64" t="s">
        <v>198</v>
      </c>
      <c r="B50" s="144">
        <f>+D50+440000</f>
        <v>4148322</v>
      </c>
      <c r="D50" s="144">
        <f>+E50+440000+244000</f>
        <v>3708322</v>
      </c>
      <c r="E50" s="144">
        <f>+F50+472476+122000</f>
        <v>3024322</v>
      </c>
      <c r="F50" s="144">
        <f>+G50+440000+33000</f>
        <v>2429846</v>
      </c>
      <c r="G50" s="144">
        <f>+H50+477600+122000</f>
        <v>1956846</v>
      </c>
      <c r="H50" s="144">
        <f>92946+15900+37600+18800+1036000+14000+14000+106000+22000</f>
        <v>1357246</v>
      </c>
      <c r="I50" s="144">
        <f>92946+15900+37600+18800+1036000+14000+14000+106000</f>
        <v>1335246</v>
      </c>
      <c r="J50" s="144">
        <f>92946+37600+1036000+14000+14000</f>
        <v>1194546</v>
      </c>
      <c r="K50" s="144">
        <f>92946+1036000+14000</f>
        <v>1142946</v>
      </c>
      <c r="L50" s="144">
        <f>+M50+18800+1036000</f>
        <v>4230000</v>
      </c>
      <c r="M50" s="144">
        <f>+N50+18800+18800</f>
        <v>3175200</v>
      </c>
      <c r="N50" s="144">
        <f>+O50</f>
        <v>3137600</v>
      </c>
      <c r="O50" s="144">
        <f>+Q50+18800</f>
        <v>3137600</v>
      </c>
      <c r="Q50" s="144">
        <f>+R50+18800+216000</f>
        <v>3118800</v>
      </c>
      <c r="R50" s="144">
        <f>+S50+18800+216000</f>
        <v>2884000</v>
      </c>
      <c r="S50" s="144">
        <f>+T50+18800+216000</f>
        <v>2649200</v>
      </c>
      <c r="T50" s="144">
        <f>+U50+18800+216000</f>
        <v>2414400</v>
      </c>
      <c r="U50" s="144">
        <f>+V50+256000+18800</f>
        <v>2179600</v>
      </c>
      <c r="V50" s="144">
        <f>+W50+216000+40000+37600</f>
        <v>1904800</v>
      </c>
      <c r="W50" s="144">
        <f>+X50+256000</f>
        <v>1611200</v>
      </c>
      <c r="X50" s="337">
        <f>1280000+37600+37600</f>
        <v>1355200</v>
      </c>
      <c r="Y50" s="144">
        <f>+Z50+256000</f>
        <v>3020000</v>
      </c>
      <c r="Z50" s="144">
        <f>+AA50+256000+37600</f>
        <v>2764000</v>
      </c>
      <c r="AA50" s="144">
        <f>+AB50+256000</f>
        <v>2470400</v>
      </c>
      <c r="AB50" s="144">
        <v>2214400</v>
      </c>
      <c r="AD50" s="144">
        <v>1958400</v>
      </c>
      <c r="AE50" s="144">
        <v>1656400</v>
      </c>
      <c r="AF50" s="144">
        <v>1400400</v>
      </c>
      <c r="AG50" s="144">
        <v>984400</v>
      </c>
      <c r="AH50" s="144">
        <v>906800</v>
      </c>
      <c r="AI50" s="144">
        <v>706800</v>
      </c>
      <c r="AJ50" s="144">
        <v>506800</v>
      </c>
      <c r="AK50" s="144">
        <v>269200</v>
      </c>
      <c r="AL50" s="144">
        <v>229200</v>
      </c>
      <c r="AM50" s="144">
        <v>1679700</v>
      </c>
      <c r="AN50" s="144">
        <v>1639700</v>
      </c>
      <c r="AO50" s="144">
        <v>1570500</v>
      </c>
      <c r="AP50" s="154"/>
      <c r="AQ50" s="144">
        <v>1490500</v>
      </c>
      <c r="AR50" s="144">
        <v>317780</v>
      </c>
      <c r="AS50" s="144">
        <v>317780</v>
      </c>
      <c r="AT50" s="144">
        <v>317780</v>
      </c>
      <c r="AU50" s="144">
        <v>317780</v>
      </c>
      <c r="AV50" s="144">
        <v>317780</v>
      </c>
      <c r="AW50" s="144">
        <v>317780</v>
      </c>
      <c r="AX50" s="144">
        <v>317780</v>
      </c>
      <c r="AY50" s="144">
        <v>317780</v>
      </c>
      <c r="AZ50" s="144">
        <v>317780</v>
      </c>
      <c r="BA50" s="144">
        <v>317780</v>
      </c>
      <c r="BB50" s="144">
        <v>317780</v>
      </c>
      <c r="BC50" s="154"/>
      <c r="BD50" s="144">
        <v>317780</v>
      </c>
      <c r="BE50" s="144"/>
      <c r="BF50" s="144"/>
      <c r="BG50" s="144"/>
      <c r="BH50" s="144"/>
      <c r="BI50" s="144"/>
      <c r="BJ50" s="94"/>
      <c r="BK50" s="144">
        <v>0</v>
      </c>
    </row>
    <row r="51" spans="1:65">
      <c r="A51" s="64" t="s">
        <v>199</v>
      </c>
      <c r="B51" s="144">
        <f>+D51+495256</f>
        <v>4568804.6940000001</v>
      </c>
      <c r="D51" s="144">
        <f>+E51+455383</f>
        <v>4073548.6940000001</v>
      </c>
      <c r="E51" s="144">
        <f>+F51+462203</f>
        <v>3618165.6940000001</v>
      </c>
      <c r="F51" s="144">
        <f>+G51+480204</f>
        <v>3155962.6940000001</v>
      </c>
      <c r="G51" s="144">
        <f>+H51+472543</f>
        <v>2675758.6940000001</v>
      </c>
      <c r="H51" s="144">
        <f>+I51+341203</f>
        <v>2203215.6940000001</v>
      </c>
      <c r="I51" s="144">
        <f>+J51+320963</f>
        <v>1862012.6940000001</v>
      </c>
      <c r="J51" s="144">
        <f>+K51+316783</f>
        <v>1541049.6940000001</v>
      </c>
      <c r="K51" s="144">
        <f>+L51+292755-1051705</f>
        <v>1224266.6940000001</v>
      </c>
      <c r="L51" s="144">
        <f>+M51+302016</f>
        <v>1983216.6939999999</v>
      </c>
      <c r="M51" s="144">
        <f>+N51+325033</f>
        <v>1681200.6939999999</v>
      </c>
      <c r="N51" s="144">
        <f>+O51+287853</f>
        <v>1356167.6939999999</v>
      </c>
      <c r="O51" s="144">
        <f>+Q51+16610</f>
        <v>1068314.6939999999</v>
      </c>
      <c r="Q51" s="144">
        <f>+R51+76010</f>
        <v>1051704.6939999999</v>
      </c>
      <c r="R51" s="144">
        <f>+S51+80405</f>
        <v>975694.6939999999</v>
      </c>
      <c r="S51" s="144">
        <f>+T51+76010</f>
        <v>895289.6939999999</v>
      </c>
      <c r="T51" s="144">
        <f>+U51+76010</f>
        <v>819279.6939999999</v>
      </c>
      <c r="U51" s="144">
        <f>+V51+87010</f>
        <v>743269.6939999999</v>
      </c>
      <c r="V51" s="144">
        <f>+W51+101970</f>
        <v>656259.6939999999</v>
      </c>
      <c r="W51" s="144">
        <f>+X51+77220</f>
        <v>554289.6939999999</v>
      </c>
      <c r="X51" s="144">
        <v>477069.6939999999</v>
      </c>
      <c r="Y51" s="144">
        <f>+Z51+83160</f>
        <v>1500873</v>
      </c>
      <c r="Z51" s="144">
        <f>+AA51+113080</f>
        <v>1417713</v>
      </c>
      <c r="AA51" s="144">
        <f>+AB51+83160</f>
        <v>1304633</v>
      </c>
      <c r="AB51" s="144">
        <f>1130943+90530</f>
        <v>1221473</v>
      </c>
      <c r="AD51" s="144">
        <v>1130943.3060000001</v>
      </c>
      <c r="AE51" s="144">
        <v>1095193.3060000001</v>
      </c>
      <c r="AF51" s="144">
        <v>965833.30599999998</v>
      </c>
      <c r="AG51" s="144">
        <v>880413.65300000005</v>
      </c>
      <c r="AH51" s="144">
        <v>785754</v>
      </c>
      <c r="AI51" s="144">
        <v>730754</v>
      </c>
      <c r="AJ51" s="144">
        <v>660794</v>
      </c>
      <c r="AK51" s="144">
        <v>582914</v>
      </c>
      <c r="AL51" s="144">
        <v>121574</v>
      </c>
      <c r="AM51" s="144">
        <v>52321</v>
      </c>
      <c r="AN51" s="144">
        <v>40161</v>
      </c>
      <c r="AO51" s="144">
        <v>23521</v>
      </c>
      <c r="AP51" s="94"/>
      <c r="AQ51" s="144">
        <v>382274</v>
      </c>
      <c r="AR51" s="144">
        <v>309151</v>
      </c>
      <c r="AS51" s="144">
        <v>293391</v>
      </c>
      <c r="AT51" s="144">
        <v>263031</v>
      </c>
      <c r="AU51" s="144">
        <v>113684</v>
      </c>
      <c r="AV51" s="144">
        <v>40919</v>
      </c>
      <c r="AW51" s="144">
        <v>40919</v>
      </c>
      <c r="AX51" s="144">
        <v>40919</v>
      </c>
      <c r="AY51" s="144">
        <v>40919</v>
      </c>
      <c r="AZ51" s="144">
        <v>36881</v>
      </c>
      <c r="BA51" s="144">
        <v>16000</v>
      </c>
      <c r="BB51" s="144">
        <v>8000</v>
      </c>
      <c r="BC51" s="94"/>
      <c r="BD51" s="144">
        <v>148000</v>
      </c>
      <c r="BE51" s="144"/>
      <c r="BF51" s="144"/>
      <c r="BG51" s="144"/>
      <c r="BH51" s="144"/>
      <c r="BI51" s="144"/>
      <c r="BJ51" s="94"/>
      <c r="BK51" s="144">
        <v>0</v>
      </c>
    </row>
    <row r="52" spans="1:65">
      <c r="A52" s="64" t="s">
        <v>640</v>
      </c>
      <c r="B52" s="310"/>
      <c r="D52" s="310">
        <f>+E52+236000+236000</f>
        <v>1848000</v>
      </c>
      <c r="E52" s="310">
        <f>+F52+236000</f>
        <v>1376000</v>
      </c>
      <c r="F52" s="310">
        <f>+G52+236000</f>
        <v>1140000</v>
      </c>
      <c r="G52" s="310">
        <f>+H52+236000</f>
        <v>904000</v>
      </c>
      <c r="H52" s="310">
        <f>+I52+158000</f>
        <v>668000</v>
      </c>
      <c r="I52" s="310">
        <f>+J52+122000</f>
        <v>510000</v>
      </c>
      <c r="J52" s="310">
        <f>+K52+97000</f>
        <v>388000</v>
      </c>
      <c r="K52" s="310">
        <f>+L52+97000</f>
        <v>291000</v>
      </c>
      <c r="L52" s="310">
        <v>194000</v>
      </c>
      <c r="M52" s="310"/>
      <c r="N52" s="310"/>
      <c r="O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D52" s="310"/>
      <c r="AE52" s="310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94"/>
      <c r="AQ52" s="310"/>
      <c r="AR52" s="310"/>
      <c r="AS52" s="310"/>
      <c r="AT52" s="310"/>
      <c r="AU52" s="310"/>
      <c r="AV52" s="310"/>
      <c r="AW52" s="310"/>
      <c r="AX52" s="310"/>
      <c r="AY52" s="310"/>
      <c r="AZ52" s="310"/>
      <c r="BA52" s="310"/>
      <c r="BB52" s="310"/>
      <c r="BC52" s="94"/>
      <c r="BD52" s="310"/>
      <c r="BE52" s="310"/>
      <c r="BF52" s="310"/>
      <c r="BG52" s="310"/>
      <c r="BH52" s="310"/>
      <c r="BI52" s="310"/>
      <c r="BJ52" s="65"/>
      <c r="BK52" s="310"/>
    </row>
    <row r="53" spans="1:65" ht="13.5" thickBot="1">
      <c r="A53" s="64" t="s">
        <v>641</v>
      </c>
      <c r="B53" s="173">
        <f>+D53+66000</f>
        <v>330000</v>
      </c>
      <c r="D53" s="173">
        <f>+E53+66000</f>
        <v>264000</v>
      </c>
      <c r="E53" s="173">
        <f>+F53+66000</f>
        <v>198000</v>
      </c>
      <c r="F53" s="173">
        <f>+G53+66000</f>
        <v>132000</v>
      </c>
      <c r="G53" s="173">
        <v>66000</v>
      </c>
      <c r="H53" s="173">
        <f t="shared" ref="H53" si="72">+I53</f>
        <v>0</v>
      </c>
      <c r="I53" s="173">
        <f t="shared" ref="I53:M53" si="73">+J53</f>
        <v>0</v>
      </c>
      <c r="J53" s="173">
        <f t="shared" si="73"/>
        <v>0</v>
      </c>
      <c r="K53" s="173">
        <f t="shared" si="73"/>
        <v>0</v>
      </c>
      <c r="L53" s="173">
        <f t="shared" si="73"/>
        <v>0</v>
      </c>
      <c r="M53" s="173">
        <f t="shared" si="73"/>
        <v>0</v>
      </c>
      <c r="N53" s="173">
        <v>0</v>
      </c>
      <c r="O53" s="173">
        <v>0</v>
      </c>
      <c r="Q53" s="173">
        <v>419820.425520055</v>
      </c>
      <c r="R53" s="173">
        <v>384600.12552005798</v>
      </c>
      <c r="S53" s="173">
        <v>349380.28552005399</v>
      </c>
      <c r="T53" s="173">
        <v>314160.28552006203</v>
      </c>
      <c r="U53" s="173">
        <v>278940</v>
      </c>
      <c r="V53" s="173">
        <v>243719.81552006298</v>
      </c>
      <c r="W53" s="173">
        <v>205680.175520055</v>
      </c>
      <c r="X53" s="173">
        <v>173280.33552005101</v>
      </c>
      <c r="Y53" s="173">
        <v>135240.07352004899</v>
      </c>
      <c r="Z53" s="173">
        <v>102840.07352004899</v>
      </c>
      <c r="AA53" s="173">
        <v>64800</v>
      </c>
      <c r="AB53" s="338">
        <v>32400</v>
      </c>
      <c r="AD53" s="173">
        <v>108074</v>
      </c>
      <c r="AE53" s="173">
        <v>108074</v>
      </c>
      <c r="AF53" s="173">
        <v>108074</v>
      </c>
      <c r="AG53" s="173">
        <v>108074</v>
      </c>
      <c r="AH53" s="173">
        <v>108074</v>
      </c>
      <c r="AI53" s="173">
        <v>84074</v>
      </c>
      <c r="AJ53" s="173">
        <v>60074</v>
      </c>
      <c r="AK53" s="173">
        <v>36074</v>
      </c>
      <c r="AL53" s="173">
        <v>36074</v>
      </c>
      <c r="AM53" s="173">
        <v>36074</v>
      </c>
      <c r="AN53" s="173">
        <v>36074</v>
      </c>
      <c r="AO53" s="173">
        <v>36074</v>
      </c>
      <c r="AP53" s="94"/>
      <c r="AQ53" s="173">
        <v>36074</v>
      </c>
      <c r="AR53" s="173">
        <v>35808</v>
      </c>
      <c r="AS53" s="173">
        <v>35808</v>
      </c>
      <c r="AT53" s="173">
        <v>35808</v>
      </c>
      <c r="AU53" s="173">
        <v>35808</v>
      </c>
      <c r="AV53" s="173">
        <v>35808</v>
      </c>
      <c r="AW53" s="173">
        <v>35808</v>
      </c>
      <c r="AX53" s="173">
        <v>35808</v>
      </c>
      <c r="AY53" s="173">
        <v>35808</v>
      </c>
      <c r="AZ53" s="173">
        <v>35808</v>
      </c>
      <c r="BA53" s="173">
        <v>35808</v>
      </c>
      <c r="BB53" s="173">
        <v>35808</v>
      </c>
      <c r="BC53" s="94"/>
      <c r="BD53" s="173">
        <v>35808</v>
      </c>
      <c r="BE53" s="173"/>
      <c r="BF53" s="173"/>
      <c r="BG53" s="173"/>
      <c r="BH53" s="173"/>
      <c r="BI53" s="173"/>
      <c r="BJ53" s="65"/>
      <c r="BK53" s="173">
        <v>0</v>
      </c>
    </row>
    <row r="54" spans="1:65" ht="14.25" thickTop="1" thickBot="1">
      <c r="A54" s="70"/>
      <c r="B54" s="145"/>
      <c r="C54" s="70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70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70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</row>
    <row r="55" spans="1:65" ht="13.5" hidden="1" thickBot="1">
      <c r="A55" s="140" t="s">
        <v>200</v>
      </c>
      <c r="B55" s="136"/>
      <c r="C55" s="140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40"/>
      <c r="Q55" s="136"/>
      <c r="R55" s="136"/>
      <c r="S55" s="136"/>
      <c r="AC55" s="140"/>
    </row>
    <row r="56" spans="1:65" ht="13.5" hidden="1" thickBot="1">
      <c r="A56" s="64" t="s">
        <v>201</v>
      </c>
      <c r="B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D56" s="159"/>
      <c r="BE56" s="160"/>
      <c r="BF56" s="160"/>
      <c r="BG56" s="160"/>
      <c r="BH56" s="160"/>
      <c r="BI56" s="160"/>
      <c r="BK56" s="160"/>
    </row>
    <row r="57" spans="1:65" ht="13.5" hidden="1" thickBot="1">
      <c r="A57" s="64" t="s">
        <v>202</v>
      </c>
      <c r="B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D57" s="159"/>
      <c r="BE57" s="160"/>
      <c r="BF57" s="160"/>
      <c r="BG57" s="160"/>
      <c r="BH57" s="160"/>
      <c r="BI57" s="160"/>
      <c r="BK57" s="160"/>
    </row>
    <row r="58" spans="1:65" ht="13.5" hidden="1" thickBot="1">
      <c r="A58" s="140" t="s">
        <v>203</v>
      </c>
      <c r="B58" s="145">
        <f t="shared" ref="B58:D58" si="74">+B56+B57</f>
        <v>0</v>
      </c>
      <c r="C58" s="140"/>
      <c r="D58" s="145">
        <f t="shared" si="74"/>
        <v>0</v>
      </c>
      <c r="E58" s="145">
        <f t="shared" ref="E58:F58" si="75">+E56+E57</f>
        <v>0</v>
      </c>
      <c r="F58" s="145">
        <f t="shared" si="75"/>
        <v>0</v>
      </c>
      <c r="G58" s="145">
        <f t="shared" ref="G58:H58" si="76">+G56+G57</f>
        <v>0</v>
      </c>
      <c r="H58" s="145">
        <f t="shared" si="76"/>
        <v>0</v>
      </c>
      <c r="I58" s="145">
        <f t="shared" ref="I58:O58" si="77">+I56+I57</f>
        <v>0</v>
      </c>
      <c r="J58" s="145">
        <f t="shared" si="77"/>
        <v>0</v>
      </c>
      <c r="K58" s="145">
        <f t="shared" si="77"/>
        <v>0</v>
      </c>
      <c r="L58" s="145">
        <f t="shared" si="77"/>
        <v>0</v>
      </c>
      <c r="M58" s="145">
        <f t="shared" si="77"/>
        <v>0</v>
      </c>
      <c r="N58" s="145">
        <f t="shared" si="77"/>
        <v>0</v>
      </c>
      <c r="O58" s="145">
        <f t="shared" si="77"/>
        <v>0</v>
      </c>
      <c r="P58" s="140"/>
      <c r="Q58" s="145">
        <f>+Q56+Q57</f>
        <v>0</v>
      </c>
      <c r="R58" s="145">
        <f>+R56+R57</f>
        <v>0</v>
      </c>
      <c r="S58" s="145">
        <f>+S56+S57</f>
        <v>0</v>
      </c>
      <c r="T58" s="145">
        <f>+T56+T57</f>
        <v>0</v>
      </c>
      <c r="U58" s="145">
        <f t="shared" ref="U58" si="78">+U56+U57</f>
        <v>0</v>
      </c>
      <c r="V58" s="145">
        <f t="shared" ref="V58:W58" si="79">+V56+V57</f>
        <v>0</v>
      </c>
      <c r="W58" s="145">
        <f t="shared" si="79"/>
        <v>0</v>
      </c>
      <c r="X58" s="145">
        <f t="shared" ref="X58" si="80">+X56+X57</f>
        <v>0</v>
      </c>
      <c r="Y58" s="145">
        <f t="shared" ref="Y58" si="81">+Y56+Y57</f>
        <v>0</v>
      </c>
      <c r="Z58" s="145">
        <f t="shared" ref="Z58" si="82">+Z56+Z57</f>
        <v>0</v>
      </c>
      <c r="AA58" s="145">
        <f t="shared" ref="AA58" si="83">+AA56+AA57</f>
        <v>0</v>
      </c>
      <c r="AB58" s="145">
        <f t="shared" ref="AB58:AD58" si="84">+AB56+AB57</f>
        <v>0</v>
      </c>
      <c r="AC58" s="140"/>
      <c r="AD58" s="145">
        <f t="shared" si="84"/>
        <v>0</v>
      </c>
      <c r="AE58" s="145">
        <f t="shared" ref="AE58:AF58" si="85">+AE56+AE57</f>
        <v>0</v>
      </c>
      <c r="AF58" s="145">
        <f t="shared" si="85"/>
        <v>0</v>
      </c>
      <c r="AG58" s="145">
        <f t="shared" ref="AG58:AH58" si="86">+AG56+AG57</f>
        <v>0</v>
      </c>
      <c r="AH58" s="145">
        <f t="shared" si="86"/>
        <v>0</v>
      </c>
      <c r="AI58" s="145">
        <f t="shared" ref="AI58:AJ58" si="87">+AI56+AI57</f>
        <v>0</v>
      </c>
      <c r="AJ58" s="145">
        <f t="shared" si="87"/>
        <v>0</v>
      </c>
      <c r="AK58" s="145">
        <f t="shared" ref="AK58:AL58" si="88">+AK56+AK57</f>
        <v>0</v>
      </c>
      <c r="AL58" s="145">
        <f t="shared" si="88"/>
        <v>0</v>
      </c>
      <c r="AM58" s="145">
        <f t="shared" ref="AM58:AN58" si="89">+AM56+AM57</f>
        <v>0</v>
      </c>
      <c r="AN58" s="145">
        <f t="shared" si="89"/>
        <v>0</v>
      </c>
      <c r="AO58" s="145">
        <f t="shared" ref="AO58:AQ58" si="90">+AO56+AO57</f>
        <v>0</v>
      </c>
      <c r="AP58" s="145"/>
      <c r="AQ58" s="145">
        <f t="shared" si="90"/>
        <v>0</v>
      </c>
      <c r="AR58" s="145">
        <f t="shared" ref="AR58:AS58" si="91">+AR56+AR57</f>
        <v>0</v>
      </c>
      <c r="AS58" s="145">
        <f t="shared" si="91"/>
        <v>0</v>
      </c>
      <c r="AT58" s="145">
        <f t="shared" ref="AT58:AU58" si="92">+AT56+AT57</f>
        <v>0</v>
      </c>
      <c r="AU58" s="145">
        <f t="shared" si="92"/>
        <v>0</v>
      </c>
      <c r="AV58" s="145">
        <f t="shared" ref="AV58:AW58" si="93">+AV56+AV57</f>
        <v>0</v>
      </c>
      <c r="AW58" s="145">
        <f t="shared" si="93"/>
        <v>0</v>
      </c>
      <c r="AX58" s="145">
        <f t="shared" ref="AX58:AY58" si="94">+AX56+AX57</f>
        <v>0</v>
      </c>
      <c r="AY58" s="145">
        <f t="shared" si="94"/>
        <v>0</v>
      </c>
      <c r="AZ58" s="145">
        <f t="shared" ref="AZ58:BA58" si="95">+AZ56+AZ57</f>
        <v>0</v>
      </c>
      <c r="BA58" s="145">
        <f t="shared" si="95"/>
        <v>0</v>
      </c>
      <c r="BB58" s="145">
        <f t="shared" ref="BB58:BD58" si="96">+BB56+BB57</f>
        <v>0</v>
      </c>
      <c r="BC58" s="145"/>
      <c r="BD58" s="145">
        <f t="shared" si="96"/>
        <v>0</v>
      </c>
      <c r="BE58" s="145">
        <f t="shared" ref="BE58:BF58" si="97">+BE56+BE57</f>
        <v>0</v>
      </c>
      <c r="BF58" s="145">
        <f t="shared" si="97"/>
        <v>0</v>
      </c>
      <c r="BG58" s="145">
        <f t="shared" ref="BG58:BH58" si="98">+BG56+BG57</f>
        <v>0</v>
      </c>
      <c r="BH58" s="145">
        <f t="shared" si="98"/>
        <v>0</v>
      </c>
      <c r="BI58" s="145">
        <f t="shared" ref="BI58" si="99">+BI56+BI57</f>
        <v>0</v>
      </c>
      <c r="BJ58" s="145"/>
      <c r="BK58" s="145">
        <f t="shared" ref="BK58" si="100">+BK56+BK57</f>
        <v>0</v>
      </c>
    </row>
    <row r="59" spans="1:65" ht="13.5" hidden="1" thickBot="1"/>
    <row r="60" spans="1:65" ht="13.5" hidden="1" thickBot="1">
      <c r="A60" s="147"/>
      <c r="B60" s="136"/>
      <c r="C60" s="147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47"/>
      <c r="Q60" s="136"/>
      <c r="R60" s="136"/>
      <c r="S60" s="136"/>
      <c r="AC60" s="147"/>
    </row>
    <row r="61" spans="1:65" ht="14.25" thickTop="1" thickBot="1">
      <c r="A61" s="140" t="s">
        <v>204</v>
      </c>
      <c r="B61" s="75">
        <f t="shared" ref="B61" si="101">+B62+B65</f>
        <v>17386530</v>
      </c>
      <c r="C61" s="140"/>
      <c r="D61" s="75">
        <f t="shared" ref="D61:E61" si="102">+D62+D65</f>
        <v>17386530</v>
      </c>
      <c r="E61" s="75">
        <f t="shared" si="102"/>
        <v>17386530</v>
      </c>
      <c r="F61" s="75">
        <f t="shared" ref="F61:G61" si="103">+F62+F65</f>
        <v>17386530</v>
      </c>
      <c r="G61" s="75">
        <f t="shared" si="103"/>
        <v>17386530</v>
      </c>
      <c r="H61" s="75">
        <f t="shared" ref="H61:I61" si="104">+H62+H65</f>
        <v>17386530</v>
      </c>
      <c r="I61" s="75">
        <f t="shared" si="104"/>
        <v>17386530</v>
      </c>
      <c r="J61" s="75">
        <f t="shared" ref="J61:K61" si="105">+J62+J65</f>
        <v>17386530</v>
      </c>
      <c r="K61" s="75">
        <f t="shared" si="105"/>
        <v>17386530</v>
      </c>
      <c r="L61" s="75">
        <f t="shared" ref="L61:M61" si="106">+L62+L65</f>
        <v>17386530</v>
      </c>
      <c r="M61" s="75">
        <f t="shared" si="106"/>
        <v>17386530</v>
      </c>
      <c r="N61" s="75">
        <f t="shared" ref="N61:O61" si="107">+N62+N65</f>
        <v>17386530</v>
      </c>
      <c r="O61" s="75">
        <f t="shared" si="107"/>
        <v>17386530</v>
      </c>
      <c r="P61" s="140"/>
      <c r="Q61" s="75">
        <f t="shared" ref="Q61:AB61" si="108">+Q62+Q65</f>
        <v>17386530</v>
      </c>
      <c r="R61" s="75">
        <f t="shared" si="108"/>
        <v>17386530</v>
      </c>
      <c r="S61" s="75">
        <f t="shared" si="108"/>
        <v>17386530</v>
      </c>
      <c r="T61" s="75">
        <f t="shared" si="108"/>
        <v>17386530</v>
      </c>
      <c r="U61" s="75">
        <f t="shared" si="108"/>
        <v>17386530</v>
      </c>
      <c r="V61" s="75">
        <f t="shared" si="108"/>
        <v>17386530</v>
      </c>
      <c r="W61" s="75">
        <f t="shared" si="108"/>
        <v>17386530</v>
      </c>
      <c r="X61" s="75">
        <f t="shared" si="108"/>
        <v>17386530</v>
      </c>
      <c r="Y61" s="75">
        <f t="shared" si="108"/>
        <v>17386530</v>
      </c>
      <c r="Z61" s="75">
        <f t="shared" si="108"/>
        <v>17386530</v>
      </c>
      <c r="AA61" s="75">
        <f t="shared" si="108"/>
        <v>17386530</v>
      </c>
      <c r="AB61" s="75">
        <f t="shared" si="108"/>
        <v>17386530</v>
      </c>
      <c r="AC61" s="140"/>
      <c r="AD61" s="75">
        <f t="shared" ref="AD61:AO61" si="109">+AD62+AD65</f>
        <v>17386530</v>
      </c>
      <c r="AE61" s="75">
        <f t="shared" si="109"/>
        <v>13183193</v>
      </c>
      <c r="AF61" s="75">
        <f t="shared" si="109"/>
        <v>13183193</v>
      </c>
      <c r="AG61" s="75">
        <f t="shared" si="109"/>
        <v>13183193</v>
      </c>
      <c r="AH61" s="75">
        <f t="shared" si="109"/>
        <v>13183193</v>
      </c>
      <c r="AI61" s="75">
        <f t="shared" si="109"/>
        <v>13183193</v>
      </c>
      <c r="AJ61" s="75">
        <f t="shared" si="109"/>
        <v>13183193</v>
      </c>
      <c r="AK61" s="75">
        <f t="shared" si="109"/>
        <v>13183193</v>
      </c>
      <c r="AL61" s="75">
        <f t="shared" si="109"/>
        <v>13183193</v>
      </c>
      <c r="AM61" s="75">
        <f t="shared" si="109"/>
        <v>13183193</v>
      </c>
      <c r="AN61" s="75">
        <f t="shared" si="109"/>
        <v>13183193</v>
      </c>
      <c r="AO61" s="75">
        <f t="shared" si="109"/>
        <v>13183193</v>
      </c>
      <c r="AP61" s="95"/>
      <c r="AQ61" s="75">
        <f t="shared" ref="AQ61:BB61" si="110">+AQ62+AQ65</f>
        <v>13183193</v>
      </c>
      <c r="AR61" s="75">
        <f t="shared" si="110"/>
        <v>9640732</v>
      </c>
      <c r="AS61" s="75">
        <f t="shared" si="110"/>
        <v>9853785</v>
      </c>
      <c r="AT61" s="75">
        <f t="shared" si="110"/>
        <v>10066838</v>
      </c>
      <c r="AU61" s="75">
        <f t="shared" si="110"/>
        <v>10279891</v>
      </c>
      <c r="AV61" s="75">
        <f t="shared" si="110"/>
        <v>6892944</v>
      </c>
      <c r="AW61" s="75">
        <f t="shared" si="110"/>
        <v>7105997</v>
      </c>
      <c r="AX61" s="75">
        <f t="shared" si="110"/>
        <v>7319050</v>
      </c>
      <c r="AY61" s="75">
        <f t="shared" si="110"/>
        <v>7532103</v>
      </c>
      <c r="AZ61" s="75">
        <f t="shared" si="110"/>
        <v>7745156</v>
      </c>
      <c r="BA61" s="75">
        <f t="shared" si="110"/>
        <v>7958209</v>
      </c>
      <c r="BB61" s="75">
        <f t="shared" si="110"/>
        <v>8171262</v>
      </c>
      <c r="BC61" s="95"/>
      <c r="BD61" s="75">
        <f t="shared" ref="BD61:BI61" si="111">+BD62+BD65</f>
        <v>9583193</v>
      </c>
      <c r="BE61" s="75">
        <f t="shared" si="111"/>
        <v>0</v>
      </c>
      <c r="BF61" s="75">
        <f t="shared" si="111"/>
        <v>0</v>
      </c>
      <c r="BG61" s="75">
        <f t="shared" si="111"/>
        <v>0</v>
      </c>
      <c r="BH61" s="75">
        <f t="shared" si="111"/>
        <v>0</v>
      </c>
      <c r="BI61" s="75">
        <f t="shared" si="111"/>
        <v>0</v>
      </c>
      <c r="BJ61" s="87"/>
      <c r="BK61" s="75">
        <f>+BK62+BK65</f>
        <v>0</v>
      </c>
    </row>
    <row r="62" spans="1:65" ht="14.25" thickTop="1" thickBot="1">
      <c r="A62" s="70" t="s">
        <v>205</v>
      </c>
      <c r="B62" s="312">
        <f t="shared" ref="B62:D62" si="112">SUM(B63:B64)</f>
        <v>8986530</v>
      </c>
      <c r="C62" s="70"/>
      <c r="D62" s="312">
        <f t="shared" si="112"/>
        <v>8986530</v>
      </c>
      <c r="E62" s="312">
        <f t="shared" ref="E62:F62" si="113">SUM(E63:E64)</f>
        <v>8986530</v>
      </c>
      <c r="F62" s="312">
        <f t="shared" si="113"/>
        <v>8986530</v>
      </c>
      <c r="G62" s="312">
        <f t="shared" ref="G62:H62" si="114">SUM(G63:G64)</f>
        <v>8986530</v>
      </c>
      <c r="H62" s="312">
        <f t="shared" si="114"/>
        <v>8986530</v>
      </c>
      <c r="I62" s="312">
        <f t="shared" ref="I62:O62" si="115">SUM(I63:I64)</f>
        <v>8986530</v>
      </c>
      <c r="J62" s="312">
        <f t="shared" si="115"/>
        <v>8986530</v>
      </c>
      <c r="K62" s="312">
        <f t="shared" si="115"/>
        <v>8986530</v>
      </c>
      <c r="L62" s="312">
        <f t="shared" si="115"/>
        <v>8986530</v>
      </c>
      <c r="M62" s="312">
        <f t="shared" si="115"/>
        <v>8986530</v>
      </c>
      <c r="N62" s="312">
        <f t="shared" si="115"/>
        <v>8986530</v>
      </c>
      <c r="O62" s="312">
        <f t="shared" si="115"/>
        <v>8986530</v>
      </c>
      <c r="P62" s="70"/>
      <c r="Q62" s="312">
        <f>SUM(Q63:Q64)</f>
        <v>8986530</v>
      </c>
      <c r="R62" s="312">
        <f t="shared" ref="R62:AB62" si="116">SUM(R63:R64)</f>
        <v>8986530</v>
      </c>
      <c r="S62" s="312">
        <f t="shared" si="116"/>
        <v>8986530</v>
      </c>
      <c r="T62" s="312">
        <f t="shared" si="116"/>
        <v>8986530</v>
      </c>
      <c r="U62" s="312">
        <f t="shared" si="116"/>
        <v>8986530</v>
      </c>
      <c r="V62" s="312">
        <f t="shared" si="116"/>
        <v>8986530</v>
      </c>
      <c r="W62" s="312">
        <f t="shared" si="116"/>
        <v>8986530</v>
      </c>
      <c r="X62" s="312">
        <f t="shared" si="116"/>
        <v>8986530</v>
      </c>
      <c r="Y62" s="312">
        <f t="shared" si="116"/>
        <v>8986530</v>
      </c>
      <c r="Z62" s="312">
        <f t="shared" si="116"/>
        <v>8986530</v>
      </c>
      <c r="AA62" s="312">
        <f t="shared" si="116"/>
        <v>8986530</v>
      </c>
      <c r="AB62" s="312">
        <f t="shared" si="116"/>
        <v>8986530</v>
      </c>
      <c r="AC62" s="70"/>
      <c r="AD62" s="312">
        <f t="shared" ref="AD62" si="117">SUM(AD63:AD64)</f>
        <v>8986530</v>
      </c>
      <c r="AE62" s="312">
        <f t="shared" ref="AE62" si="118">SUM(AE63:AE64)</f>
        <v>4783193</v>
      </c>
      <c r="AF62" s="312">
        <f t="shared" ref="AF62" si="119">SUM(AF63:AF64)</f>
        <v>4783193</v>
      </c>
      <c r="AG62" s="312">
        <f t="shared" ref="AG62" si="120">SUM(AG63:AG64)</f>
        <v>4783193</v>
      </c>
      <c r="AH62" s="312">
        <f t="shared" ref="AH62" si="121">SUM(AH63:AH64)</f>
        <v>4783193</v>
      </c>
      <c r="AI62" s="312">
        <f t="shared" ref="AI62" si="122">SUM(AI63:AI64)</f>
        <v>4783193</v>
      </c>
      <c r="AJ62" s="312">
        <f t="shared" ref="AJ62" si="123">SUM(AJ63:AJ64)</f>
        <v>4783193</v>
      </c>
      <c r="AK62" s="312">
        <f t="shared" ref="AK62" si="124">SUM(AK63:AK64)</f>
        <v>4783193</v>
      </c>
      <c r="AL62" s="312">
        <f t="shared" ref="AL62" si="125">SUM(AL63:AL64)</f>
        <v>4783193</v>
      </c>
      <c r="AM62" s="312">
        <f t="shared" ref="AM62" si="126">SUM(AM63:AM64)</f>
        <v>4783193</v>
      </c>
      <c r="AN62" s="312">
        <f t="shared" ref="AN62" si="127">SUM(AN63:AN64)</f>
        <v>4783193</v>
      </c>
      <c r="AO62" s="312">
        <f t="shared" ref="AO62" si="128">SUM(AO63:AO64)</f>
        <v>4783193</v>
      </c>
      <c r="AP62" s="65"/>
      <c r="AQ62" s="312">
        <f t="shared" ref="AQ62" si="129">SUM(AQ63:AQ64)</f>
        <v>4783193</v>
      </c>
      <c r="AR62" s="312">
        <f t="shared" ref="AR62" si="130">SUM(AR63:AR64)</f>
        <v>4783193</v>
      </c>
      <c r="AS62" s="312">
        <f t="shared" ref="AS62" si="131">SUM(AS63:AS64)</f>
        <v>4783193</v>
      </c>
      <c r="AT62" s="312">
        <f t="shared" ref="AT62" si="132">SUM(AT63:AT64)</f>
        <v>4783193</v>
      </c>
      <c r="AU62" s="312">
        <f t="shared" ref="AU62" si="133">SUM(AU63:AU64)</f>
        <v>4783193</v>
      </c>
      <c r="AV62" s="312">
        <f t="shared" ref="AV62" si="134">SUM(AV63:AV64)</f>
        <v>4783193</v>
      </c>
      <c r="AW62" s="312">
        <f t="shared" ref="AW62" si="135">SUM(AW63:AW64)</f>
        <v>4783193</v>
      </c>
      <c r="AX62" s="312">
        <f t="shared" ref="AX62" si="136">SUM(AX63:AX64)</f>
        <v>4783193</v>
      </c>
      <c r="AY62" s="312">
        <f t="shared" ref="AY62" si="137">SUM(AY63:AY64)</f>
        <v>4783193</v>
      </c>
      <c r="AZ62" s="312">
        <f t="shared" ref="AZ62" si="138">SUM(AZ63:AZ64)</f>
        <v>4783193</v>
      </c>
      <c r="BA62" s="312">
        <f t="shared" ref="BA62" si="139">SUM(BA63:BA64)</f>
        <v>4783193</v>
      </c>
      <c r="BB62" s="312">
        <f t="shared" ref="BB62" si="140">SUM(BB63:BB64)</f>
        <v>4783193</v>
      </c>
      <c r="BC62" s="65"/>
      <c r="BD62" s="312">
        <f t="shared" ref="BD62" si="141">SUM(BD63:BD64)</f>
        <v>4783193</v>
      </c>
      <c r="BE62" s="312">
        <f t="shared" ref="BE62" si="142">SUM(BE63:BE64)</f>
        <v>0</v>
      </c>
      <c r="BF62" s="312">
        <f t="shared" ref="BF62" si="143">SUM(BF63:BF64)</f>
        <v>0</v>
      </c>
      <c r="BG62" s="312">
        <f t="shared" ref="BG62" si="144">SUM(BG63:BG64)</f>
        <v>0</v>
      </c>
      <c r="BH62" s="312">
        <f t="shared" ref="BH62" si="145">SUM(BH63:BH64)</f>
        <v>0</v>
      </c>
      <c r="BI62" s="312">
        <f t="shared" ref="BI62" si="146">SUM(BI63:BI64)</f>
        <v>0</v>
      </c>
      <c r="BJ62" s="65"/>
      <c r="BK62" s="312">
        <f t="shared" ref="BK62" si="147">SUM(BK63:BK64)</f>
        <v>0</v>
      </c>
    </row>
    <row r="63" spans="1:65" ht="13.5" thickTop="1">
      <c r="A63" s="64" t="s">
        <v>206</v>
      </c>
      <c r="B63" s="115">
        <v>8986530</v>
      </c>
      <c r="D63" s="115">
        <v>8986530</v>
      </c>
      <c r="E63" s="115">
        <v>8986530</v>
      </c>
      <c r="F63" s="115">
        <v>8986530</v>
      </c>
      <c r="G63" s="115">
        <v>8986530</v>
      </c>
      <c r="H63" s="115">
        <v>8986530</v>
      </c>
      <c r="I63" s="115">
        <v>8986530</v>
      </c>
      <c r="J63" s="115">
        <v>8986530</v>
      </c>
      <c r="K63" s="115">
        <v>8986530</v>
      </c>
      <c r="L63" s="115">
        <v>8986530</v>
      </c>
      <c r="M63" s="115">
        <v>8986530</v>
      </c>
      <c r="N63" s="115">
        <v>8986530</v>
      </c>
      <c r="O63" s="115">
        <v>8986530</v>
      </c>
      <c r="Q63" s="115">
        <v>8986530</v>
      </c>
      <c r="R63" s="115">
        <v>8986530</v>
      </c>
      <c r="S63" s="115">
        <v>8986530</v>
      </c>
      <c r="T63" s="115">
        <v>8986530</v>
      </c>
      <c r="U63" s="115">
        <v>8986530</v>
      </c>
      <c r="V63" s="115">
        <v>8986530</v>
      </c>
      <c r="W63" s="115">
        <v>8986530</v>
      </c>
      <c r="X63" s="115">
        <f>4783193+20000000-11130000-4666663</f>
        <v>8986530</v>
      </c>
      <c r="Y63" s="115">
        <f>4783193+20000000-11130000-4666663</f>
        <v>8986530</v>
      </c>
      <c r="Z63" s="115">
        <f>4783193+20000000-11130000-4666663</f>
        <v>8986530</v>
      </c>
      <c r="AA63" s="115">
        <f>4783193+20000000-11130000-4666663</f>
        <v>8986530</v>
      </c>
      <c r="AB63" s="115">
        <f>4783193+20000000-11130000-4666663</f>
        <v>8986530</v>
      </c>
      <c r="AD63" s="115">
        <f>4783193+20000000-11130000-4666663</f>
        <v>8986530</v>
      </c>
      <c r="AE63" s="115">
        <v>4783193</v>
      </c>
      <c r="AF63" s="115">
        <v>4783193</v>
      </c>
      <c r="AG63" s="115">
        <v>4783193</v>
      </c>
      <c r="AH63" s="115">
        <v>4783193</v>
      </c>
      <c r="AI63" s="115">
        <v>4783193</v>
      </c>
      <c r="AJ63" s="115">
        <v>4783193</v>
      </c>
      <c r="AK63" s="115">
        <v>4783193</v>
      </c>
      <c r="AL63" s="115">
        <v>4783193</v>
      </c>
      <c r="AM63" s="115">
        <v>4783193</v>
      </c>
      <c r="AN63" s="115">
        <v>4783193</v>
      </c>
      <c r="AO63" s="115">
        <v>4783193</v>
      </c>
      <c r="AP63" s="152"/>
      <c r="AQ63" s="115">
        <v>4783193</v>
      </c>
      <c r="AR63" s="115">
        <v>4783193</v>
      </c>
      <c r="AS63" s="115">
        <v>4783193</v>
      </c>
      <c r="AT63" s="115">
        <v>4783193</v>
      </c>
      <c r="AU63" s="115">
        <v>4783193</v>
      </c>
      <c r="AV63" s="115">
        <v>4783193</v>
      </c>
      <c r="AW63" s="115">
        <v>4783193</v>
      </c>
      <c r="AX63" s="115">
        <v>4783193</v>
      </c>
      <c r="AY63" s="115">
        <v>4783193</v>
      </c>
      <c r="AZ63" s="115">
        <v>4783193</v>
      </c>
      <c r="BA63" s="115">
        <v>4783193</v>
      </c>
      <c r="BB63" s="115">
        <v>4783193</v>
      </c>
      <c r="BC63" s="152"/>
      <c r="BD63" s="115">
        <v>4783193</v>
      </c>
      <c r="BE63" s="115"/>
      <c r="BF63" s="115"/>
      <c r="BG63" s="115"/>
      <c r="BH63" s="115"/>
      <c r="BI63" s="115"/>
      <c r="BJ63" s="164"/>
      <c r="BK63" s="115">
        <v>0</v>
      </c>
      <c r="BM63" s="134"/>
    </row>
    <row r="64" spans="1:65" ht="13.5" thickBot="1">
      <c r="A64" s="64" t="s">
        <v>207</v>
      </c>
      <c r="B64" s="144">
        <v>0</v>
      </c>
      <c r="D64" s="144">
        <v>0</v>
      </c>
      <c r="E64" s="144">
        <v>0</v>
      </c>
      <c r="F64" s="144">
        <v>0</v>
      </c>
      <c r="G64" s="144">
        <v>0</v>
      </c>
      <c r="H64" s="144">
        <v>0</v>
      </c>
      <c r="I64" s="144">
        <v>0</v>
      </c>
      <c r="J64" s="144">
        <v>0</v>
      </c>
      <c r="K64" s="144">
        <v>0</v>
      </c>
      <c r="L64" s="144">
        <v>0</v>
      </c>
      <c r="M64" s="144">
        <v>0</v>
      </c>
      <c r="N64" s="144">
        <v>0</v>
      </c>
      <c r="O64" s="144">
        <v>0</v>
      </c>
      <c r="Q64" s="144">
        <v>0</v>
      </c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D64" s="144"/>
      <c r="AE64" s="144">
        <v>0</v>
      </c>
      <c r="AF64" s="144">
        <v>0</v>
      </c>
      <c r="AG64" s="144">
        <v>0</v>
      </c>
      <c r="AH64" s="144">
        <v>0</v>
      </c>
      <c r="AI64" s="144">
        <v>0</v>
      </c>
      <c r="AJ64" s="144">
        <v>0</v>
      </c>
      <c r="AK64" s="144">
        <v>0</v>
      </c>
      <c r="AL64" s="144">
        <v>0</v>
      </c>
      <c r="AM64" s="144">
        <v>0</v>
      </c>
      <c r="AN64" s="144">
        <v>0</v>
      </c>
      <c r="AO64" s="144">
        <v>0</v>
      </c>
      <c r="AP64" s="155"/>
      <c r="AQ64" s="144">
        <v>0</v>
      </c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61"/>
      <c r="BD64" s="144">
        <v>0</v>
      </c>
      <c r="BE64" s="144"/>
      <c r="BF64" s="144"/>
      <c r="BG64" s="144"/>
      <c r="BH64" s="144"/>
      <c r="BI64" s="144"/>
      <c r="BJ64" s="165"/>
      <c r="BK64" s="144">
        <v>0</v>
      </c>
    </row>
    <row r="65" spans="1:66" ht="14.25" thickTop="1" thickBot="1">
      <c r="A65" s="70" t="s">
        <v>208</v>
      </c>
      <c r="B65" s="312">
        <f t="shared" ref="B65:D65" si="148">SUM(B66:B67)</f>
        <v>8400000</v>
      </c>
      <c r="C65" s="70"/>
      <c r="D65" s="312">
        <f t="shared" si="148"/>
        <v>8400000</v>
      </c>
      <c r="E65" s="312">
        <f t="shared" ref="E65:F65" si="149">SUM(E66:E67)</f>
        <v>8400000</v>
      </c>
      <c r="F65" s="312">
        <f t="shared" si="149"/>
        <v>8400000</v>
      </c>
      <c r="G65" s="312">
        <f t="shared" ref="G65:H65" si="150">SUM(G66:G67)</f>
        <v>8400000</v>
      </c>
      <c r="H65" s="312">
        <f t="shared" si="150"/>
        <v>8400000</v>
      </c>
      <c r="I65" s="312">
        <f t="shared" ref="I65:O65" si="151">SUM(I66:I67)</f>
        <v>8400000</v>
      </c>
      <c r="J65" s="312">
        <f t="shared" si="151"/>
        <v>8400000</v>
      </c>
      <c r="K65" s="312">
        <f t="shared" si="151"/>
        <v>8400000</v>
      </c>
      <c r="L65" s="312">
        <f t="shared" si="151"/>
        <v>8400000</v>
      </c>
      <c r="M65" s="312">
        <f t="shared" si="151"/>
        <v>8400000</v>
      </c>
      <c r="N65" s="312">
        <f t="shared" si="151"/>
        <v>8400000</v>
      </c>
      <c r="O65" s="312">
        <f t="shared" si="151"/>
        <v>8400000</v>
      </c>
      <c r="P65" s="70"/>
      <c r="Q65" s="312">
        <f>SUM(Q66:Q67)</f>
        <v>8400000</v>
      </c>
      <c r="R65" s="312">
        <f t="shared" ref="R65:AB65" si="152">SUM(R66:R67)</f>
        <v>8400000</v>
      </c>
      <c r="S65" s="312">
        <f t="shared" si="152"/>
        <v>8400000</v>
      </c>
      <c r="T65" s="312">
        <f t="shared" si="152"/>
        <v>8400000</v>
      </c>
      <c r="U65" s="312">
        <f t="shared" si="152"/>
        <v>8400000</v>
      </c>
      <c r="V65" s="312">
        <f t="shared" si="152"/>
        <v>8400000</v>
      </c>
      <c r="W65" s="312">
        <f t="shared" si="152"/>
        <v>8400000</v>
      </c>
      <c r="X65" s="312">
        <f t="shared" si="152"/>
        <v>8400000</v>
      </c>
      <c r="Y65" s="312">
        <f t="shared" si="152"/>
        <v>8400000</v>
      </c>
      <c r="Z65" s="312">
        <f t="shared" si="152"/>
        <v>8400000</v>
      </c>
      <c r="AA65" s="312">
        <f t="shared" si="152"/>
        <v>8400000</v>
      </c>
      <c r="AB65" s="312">
        <f t="shared" si="152"/>
        <v>8400000</v>
      </c>
      <c r="AC65" s="70"/>
      <c r="AD65" s="312">
        <f t="shared" ref="AD65" si="153">SUM(AD66:AD67)</f>
        <v>8400000</v>
      </c>
      <c r="AE65" s="312">
        <f t="shared" ref="AE65" si="154">SUM(AE66:AE67)</f>
        <v>8400000</v>
      </c>
      <c r="AF65" s="312">
        <f t="shared" ref="AF65" si="155">SUM(AF66:AF67)</f>
        <v>8400000</v>
      </c>
      <c r="AG65" s="312">
        <f t="shared" ref="AG65" si="156">SUM(AG66:AG67)</f>
        <v>8400000</v>
      </c>
      <c r="AH65" s="312">
        <f t="shared" ref="AH65" si="157">SUM(AH66:AH67)</f>
        <v>8400000</v>
      </c>
      <c r="AI65" s="312">
        <f t="shared" ref="AI65" si="158">SUM(AI66:AI67)</f>
        <v>8400000</v>
      </c>
      <c r="AJ65" s="312">
        <f t="shared" ref="AJ65" si="159">SUM(AJ66:AJ67)</f>
        <v>8400000</v>
      </c>
      <c r="AK65" s="312">
        <f t="shared" ref="AK65" si="160">SUM(AK66:AK67)</f>
        <v>8400000</v>
      </c>
      <c r="AL65" s="312">
        <f t="shared" ref="AL65" si="161">SUM(AL66:AL67)</f>
        <v>8400000</v>
      </c>
      <c r="AM65" s="312">
        <f t="shared" ref="AM65" si="162">SUM(AM66:AM67)</f>
        <v>8400000</v>
      </c>
      <c r="AN65" s="312">
        <f t="shared" ref="AN65" si="163">SUM(AN66:AN67)</f>
        <v>8400000</v>
      </c>
      <c r="AO65" s="312">
        <f t="shared" ref="AO65" si="164">SUM(AO66:AO67)</f>
        <v>8400000</v>
      </c>
      <c r="AP65" s="65"/>
      <c r="AQ65" s="312">
        <f t="shared" ref="AQ65" si="165">SUM(AQ66:AQ67)</f>
        <v>8400000</v>
      </c>
      <c r="AR65" s="312">
        <f t="shared" ref="AR65" si="166">SUM(AR66:AR67)</f>
        <v>4857539</v>
      </c>
      <c r="AS65" s="312">
        <f t="shared" ref="AS65" si="167">SUM(AS66:AS67)</f>
        <v>5070592</v>
      </c>
      <c r="AT65" s="312">
        <f t="shared" ref="AT65" si="168">SUM(AT66:AT67)</f>
        <v>5283645</v>
      </c>
      <c r="AU65" s="312">
        <f t="shared" ref="AU65" si="169">SUM(AU66:AU67)</f>
        <v>5496698</v>
      </c>
      <c r="AV65" s="312">
        <f t="shared" ref="AV65" si="170">SUM(AV66:AV67)</f>
        <v>2109751</v>
      </c>
      <c r="AW65" s="312">
        <f t="shared" ref="AW65" si="171">SUM(AW66:AW67)</f>
        <v>2322804</v>
      </c>
      <c r="AX65" s="312">
        <f t="shared" ref="AX65" si="172">SUM(AX66:AX67)</f>
        <v>2535857</v>
      </c>
      <c r="AY65" s="312">
        <f t="shared" ref="AY65" si="173">SUM(AY66:AY67)</f>
        <v>2748910</v>
      </c>
      <c r="AZ65" s="312">
        <f t="shared" ref="AZ65" si="174">SUM(AZ66:AZ67)</f>
        <v>2961963</v>
      </c>
      <c r="BA65" s="312">
        <f t="shared" ref="BA65" si="175">SUM(BA66:BA67)</f>
        <v>3175016</v>
      </c>
      <c r="BB65" s="312">
        <f t="shared" ref="BB65" si="176">SUM(BB66:BB67)</f>
        <v>3388069</v>
      </c>
      <c r="BC65" s="65"/>
      <c r="BD65" s="312">
        <f t="shared" ref="BD65" si="177">SUM(BD66:BD67)</f>
        <v>4800000</v>
      </c>
      <c r="BE65" s="312">
        <f t="shared" ref="BE65" si="178">SUM(BE66:BE67)</f>
        <v>0</v>
      </c>
      <c r="BF65" s="312">
        <f t="shared" ref="BF65" si="179">SUM(BF66:BF67)</f>
        <v>0</v>
      </c>
      <c r="BG65" s="312">
        <f t="shared" ref="BG65" si="180">SUM(BG66:BG67)</f>
        <v>0</v>
      </c>
      <c r="BH65" s="312">
        <f t="shared" ref="BH65" si="181">SUM(BH66:BH67)</f>
        <v>0</v>
      </c>
      <c r="BI65" s="312">
        <f t="shared" ref="BI65" si="182">SUM(BI66:BI67)</f>
        <v>0</v>
      </c>
      <c r="BJ65" s="65"/>
      <c r="BK65" s="312">
        <f t="shared" ref="BK65" si="183">SUM(BK66:BK67)</f>
        <v>0</v>
      </c>
    </row>
    <row r="66" spans="1:66" ht="13.5" thickTop="1">
      <c r="A66" s="150" t="s">
        <v>209</v>
      </c>
      <c r="B66" s="115">
        <v>8400000</v>
      </c>
      <c r="C66" s="150"/>
      <c r="D66" s="115">
        <v>8400000</v>
      </c>
      <c r="E66" s="115">
        <v>8400000</v>
      </c>
      <c r="F66" s="115">
        <v>8400000</v>
      </c>
      <c r="G66" s="115">
        <v>8400000</v>
      </c>
      <c r="H66" s="115">
        <v>8400000</v>
      </c>
      <c r="I66" s="115">
        <v>8400000</v>
      </c>
      <c r="J66" s="115">
        <v>8400000</v>
      </c>
      <c r="K66" s="115">
        <v>8400000</v>
      </c>
      <c r="L66" s="115">
        <v>8400000</v>
      </c>
      <c r="M66" s="115">
        <v>8400000</v>
      </c>
      <c r="N66" s="115">
        <v>8400000</v>
      </c>
      <c r="O66" s="115">
        <v>8400000</v>
      </c>
      <c r="P66" s="150"/>
      <c r="Q66" s="115">
        <v>8400000</v>
      </c>
      <c r="R66" s="115">
        <v>8400000</v>
      </c>
      <c r="S66" s="115">
        <v>8400000</v>
      </c>
      <c r="T66" s="115">
        <v>8400000</v>
      </c>
      <c r="U66" s="115">
        <v>8400000</v>
      </c>
      <c r="V66" s="115">
        <v>8400000</v>
      </c>
      <c r="W66" s="115">
        <v>8400000</v>
      </c>
      <c r="X66" s="115">
        <v>8400000</v>
      </c>
      <c r="Y66" s="115">
        <v>8400000</v>
      </c>
      <c r="Z66" s="115">
        <v>8400000</v>
      </c>
      <c r="AA66" s="115">
        <v>8400000</v>
      </c>
      <c r="AB66" s="115">
        <v>8400000</v>
      </c>
      <c r="AC66" s="150"/>
      <c r="AD66" s="115">
        <f>8400000+4505488-4505488</f>
        <v>8400000</v>
      </c>
      <c r="AE66" s="115">
        <v>8400000</v>
      </c>
      <c r="AF66" s="115">
        <v>8400000</v>
      </c>
      <c r="AG66" s="115">
        <v>8400000</v>
      </c>
      <c r="AH66" s="115">
        <v>8400000</v>
      </c>
      <c r="AI66" s="115">
        <v>8400000</v>
      </c>
      <c r="AJ66" s="115">
        <v>8400000</v>
      </c>
      <c r="AK66" s="115">
        <v>8400000</v>
      </c>
      <c r="AL66" s="115">
        <v>8400000</v>
      </c>
      <c r="AM66" s="115">
        <v>8400000</v>
      </c>
      <c r="AN66" s="115">
        <v>8400000</v>
      </c>
      <c r="AO66" s="115">
        <v>8400000</v>
      </c>
      <c r="AP66" s="65"/>
      <c r="AQ66" s="115">
        <v>8400000</v>
      </c>
      <c r="AR66" s="115">
        <v>8400000</v>
      </c>
      <c r="AS66" s="115">
        <v>8400000</v>
      </c>
      <c r="AT66" s="115">
        <v>8400000</v>
      </c>
      <c r="AU66" s="115">
        <v>8400000</v>
      </c>
      <c r="AV66" s="115">
        <v>4800000</v>
      </c>
      <c r="AW66" s="115">
        <v>4800000</v>
      </c>
      <c r="AX66" s="115">
        <v>4800000</v>
      </c>
      <c r="AY66" s="115">
        <v>4800000</v>
      </c>
      <c r="AZ66" s="115">
        <v>4800000</v>
      </c>
      <c r="BA66" s="115">
        <v>4800000</v>
      </c>
      <c r="BB66" s="115">
        <v>4800000</v>
      </c>
      <c r="BC66" s="65"/>
      <c r="BD66" s="115">
        <v>4800000</v>
      </c>
      <c r="BE66" s="115"/>
      <c r="BF66" s="115"/>
      <c r="BG66" s="115"/>
      <c r="BH66" s="115"/>
      <c r="BI66" s="115"/>
      <c r="BJ66" s="164"/>
      <c r="BK66" s="115">
        <v>0</v>
      </c>
    </row>
    <row r="67" spans="1:66" ht="13.5" thickBot="1">
      <c r="A67" s="64" t="s">
        <v>207</v>
      </c>
      <c r="B67" s="173">
        <v>0</v>
      </c>
      <c r="D67" s="173">
        <v>0</v>
      </c>
      <c r="E67" s="173">
        <v>0</v>
      </c>
      <c r="F67" s="173">
        <v>0</v>
      </c>
      <c r="G67" s="173">
        <v>0</v>
      </c>
      <c r="H67" s="173">
        <v>0</v>
      </c>
      <c r="I67" s="173">
        <v>0</v>
      </c>
      <c r="J67" s="173">
        <v>0</v>
      </c>
      <c r="K67" s="173">
        <v>0</v>
      </c>
      <c r="L67" s="173">
        <v>0</v>
      </c>
      <c r="M67" s="173">
        <v>0</v>
      </c>
      <c r="N67" s="173">
        <v>0</v>
      </c>
      <c r="O67" s="173">
        <v>0</v>
      </c>
      <c r="Q67" s="173">
        <v>0</v>
      </c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D67" s="173">
        <v>0</v>
      </c>
      <c r="AE67" s="173">
        <v>0</v>
      </c>
      <c r="AF67" s="173">
        <v>0</v>
      </c>
      <c r="AG67" s="173">
        <v>0</v>
      </c>
      <c r="AH67" s="173">
        <v>0</v>
      </c>
      <c r="AI67" s="173">
        <v>0</v>
      </c>
      <c r="AJ67" s="173">
        <v>0</v>
      </c>
      <c r="AK67" s="173">
        <v>0</v>
      </c>
      <c r="AL67" s="173">
        <v>0</v>
      </c>
      <c r="AM67" s="173">
        <v>0</v>
      </c>
      <c r="AN67" s="173">
        <v>0</v>
      </c>
      <c r="AO67" s="173">
        <v>0</v>
      </c>
      <c r="AP67" s="156"/>
      <c r="AQ67" s="173">
        <v>0</v>
      </c>
      <c r="AR67" s="173">
        <v>-3542461</v>
      </c>
      <c r="AS67" s="173">
        <v>-3329408</v>
      </c>
      <c r="AT67" s="173">
        <v>-3116355</v>
      </c>
      <c r="AU67" s="173">
        <v>-2903302</v>
      </c>
      <c r="AV67" s="173">
        <v>-2690249</v>
      </c>
      <c r="AW67" s="173">
        <v>-2477196</v>
      </c>
      <c r="AX67" s="173">
        <v>-2264143</v>
      </c>
      <c r="AY67" s="173">
        <v>-2051090</v>
      </c>
      <c r="AZ67" s="173">
        <v>-1838037</v>
      </c>
      <c r="BA67" s="173">
        <v>-1624984</v>
      </c>
      <c r="BB67" s="173">
        <v>-1411931</v>
      </c>
      <c r="BC67" s="156"/>
      <c r="BD67" s="173">
        <v>0</v>
      </c>
      <c r="BE67" s="173"/>
      <c r="BF67" s="173"/>
      <c r="BG67" s="173"/>
      <c r="BH67" s="173"/>
      <c r="BI67" s="173"/>
      <c r="BJ67" s="165"/>
      <c r="BK67" s="173">
        <v>0</v>
      </c>
    </row>
    <row r="68" spans="1:66" ht="14.25" thickTop="1" thickBot="1">
      <c r="B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D68" s="166"/>
      <c r="BE68" s="166"/>
      <c r="BF68" s="166"/>
      <c r="BG68" s="166"/>
      <c r="BH68" s="166"/>
      <c r="BI68" s="166"/>
      <c r="BK68" s="166"/>
    </row>
    <row r="69" spans="1:66" ht="14.25" thickTop="1" thickBot="1">
      <c r="A69" s="140" t="s">
        <v>210</v>
      </c>
      <c r="B69" s="75">
        <f t="shared" ref="B69:O69" si="184">+B70</f>
        <v>36327625</v>
      </c>
      <c r="C69" s="140"/>
      <c r="D69" s="75">
        <f t="shared" si="184"/>
        <v>36327625</v>
      </c>
      <c r="E69" s="75">
        <f t="shared" si="184"/>
        <v>36327625</v>
      </c>
      <c r="F69" s="75">
        <f t="shared" si="184"/>
        <v>36327625</v>
      </c>
      <c r="G69" s="75">
        <f t="shared" si="184"/>
        <v>36327625</v>
      </c>
      <c r="H69" s="75">
        <f t="shared" si="184"/>
        <v>36327625</v>
      </c>
      <c r="I69" s="75">
        <f t="shared" si="184"/>
        <v>36327625</v>
      </c>
      <c r="J69" s="75">
        <f t="shared" si="184"/>
        <v>36327625</v>
      </c>
      <c r="K69" s="75">
        <f t="shared" si="184"/>
        <v>36327625</v>
      </c>
      <c r="L69" s="75">
        <f t="shared" si="184"/>
        <v>36327625</v>
      </c>
      <c r="M69" s="75">
        <f t="shared" si="184"/>
        <v>36327625</v>
      </c>
      <c r="N69" s="75">
        <f t="shared" si="184"/>
        <v>36327625</v>
      </c>
      <c r="O69" s="75">
        <f t="shared" si="184"/>
        <v>36327625</v>
      </c>
      <c r="P69" s="140"/>
      <c r="Q69" s="75">
        <f>+Q70</f>
        <v>36327625</v>
      </c>
      <c r="R69" s="75">
        <f t="shared" ref="R69:AA69" si="185">+R70</f>
        <v>31808371</v>
      </c>
      <c r="S69" s="75">
        <f t="shared" si="185"/>
        <v>29238600</v>
      </c>
      <c r="T69" s="75">
        <f t="shared" si="185"/>
        <v>26656843</v>
      </c>
      <c r="U69" s="75">
        <f t="shared" si="185"/>
        <v>24207995</v>
      </c>
      <c r="V69" s="75">
        <f t="shared" si="185"/>
        <v>21747921</v>
      </c>
      <c r="W69" s="75">
        <f t="shared" si="185"/>
        <v>19339622</v>
      </c>
      <c r="X69" s="75">
        <f t="shared" si="185"/>
        <v>14232999</v>
      </c>
      <c r="Y69" s="75">
        <f t="shared" si="185"/>
        <v>13215750</v>
      </c>
      <c r="Z69" s="75">
        <f t="shared" si="185"/>
        <v>7067100</v>
      </c>
      <c r="AA69" s="75">
        <f t="shared" si="185"/>
        <v>5376575</v>
      </c>
      <c r="AB69" s="75">
        <f>+AB70</f>
        <v>2715692</v>
      </c>
      <c r="AC69" s="140"/>
      <c r="AD69" s="75">
        <f t="shared" ref="AD69:AE69" si="186">+AD68</f>
        <v>0</v>
      </c>
      <c r="AE69" s="75">
        <f t="shared" si="186"/>
        <v>0</v>
      </c>
      <c r="AF69" s="75">
        <f t="shared" ref="AF69:AG69" si="187">+AF68</f>
        <v>0</v>
      </c>
      <c r="AG69" s="75">
        <f t="shared" si="187"/>
        <v>0</v>
      </c>
      <c r="AH69" s="75">
        <f t="shared" ref="AH69:AI69" si="188">+AH68</f>
        <v>0</v>
      </c>
      <c r="AI69" s="75">
        <f t="shared" si="188"/>
        <v>0</v>
      </c>
      <c r="AJ69" s="75">
        <f t="shared" ref="AJ69:AO69" si="189">+AJ68</f>
        <v>0</v>
      </c>
      <c r="AK69" s="75">
        <f t="shared" si="189"/>
        <v>0</v>
      </c>
      <c r="AL69" s="75">
        <f t="shared" si="189"/>
        <v>0</v>
      </c>
      <c r="AM69" s="75">
        <f t="shared" si="189"/>
        <v>0</v>
      </c>
      <c r="AN69" s="75">
        <f t="shared" si="189"/>
        <v>0</v>
      </c>
      <c r="AO69" s="75">
        <f t="shared" si="189"/>
        <v>0</v>
      </c>
      <c r="AQ69" s="75">
        <f>+AQ70</f>
        <v>24505488</v>
      </c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D69" s="75">
        <f>SUM(BD68:BO68)</f>
        <v>0</v>
      </c>
    </row>
    <row r="70" spans="1:66" ht="14.25" thickTop="1" thickBot="1">
      <c r="A70" s="64" t="s">
        <v>211</v>
      </c>
      <c r="B70" s="72">
        <f>+D70</f>
        <v>36327625</v>
      </c>
      <c r="D70" s="72">
        <f t="shared" ref="D70:H70" si="190">+E70</f>
        <v>36327625</v>
      </c>
      <c r="E70" s="72">
        <f t="shared" si="190"/>
        <v>36327625</v>
      </c>
      <c r="F70" s="72">
        <f t="shared" si="190"/>
        <v>36327625</v>
      </c>
      <c r="G70" s="72">
        <f t="shared" si="190"/>
        <v>36327625</v>
      </c>
      <c r="H70" s="72">
        <f t="shared" si="190"/>
        <v>36327625</v>
      </c>
      <c r="I70" s="72">
        <f t="shared" ref="I70:N70" si="191">+J70</f>
        <v>36327625</v>
      </c>
      <c r="J70" s="72">
        <f t="shared" si="191"/>
        <v>36327625</v>
      </c>
      <c r="K70" s="72">
        <f t="shared" si="191"/>
        <v>36327625</v>
      </c>
      <c r="L70" s="72">
        <f t="shared" si="191"/>
        <v>36327625</v>
      </c>
      <c r="M70" s="72">
        <f t="shared" si="191"/>
        <v>36327625</v>
      </c>
      <c r="N70" s="72">
        <f t="shared" si="191"/>
        <v>36327625</v>
      </c>
      <c r="O70" s="72">
        <f>+Q70</f>
        <v>36327625</v>
      </c>
      <c r="Q70" s="72">
        <v>36327625</v>
      </c>
      <c r="R70" s="72">
        <v>31808371</v>
      </c>
      <c r="S70" s="72">
        <v>29238600</v>
      </c>
      <c r="T70" s="72">
        <v>26656843</v>
      </c>
      <c r="U70" s="72">
        <v>24207995</v>
      </c>
      <c r="V70" s="72">
        <v>21747921</v>
      </c>
      <c r="W70" s="72">
        <v>19339622</v>
      </c>
      <c r="X70" s="72">
        <v>14232999</v>
      </c>
      <c r="Y70" s="72">
        <v>13215750</v>
      </c>
      <c r="Z70" s="72">
        <v>7067100</v>
      </c>
      <c r="AA70" s="72">
        <v>5376575</v>
      </c>
      <c r="AB70" s="72">
        <v>2715692</v>
      </c>
      <c r="AD70" s="72">
        <v>0</v>
      </c>
      <c r="AE70" s="72">
        <v>24505488</v>
      </c>
      <c r="AF70" s="72">
        <v>24505488</v>
      </c>
      <c r="AG70" s="72">
        <v>24505488</v>
      </c>
      <c r="AH70" s="72">
        <v>24505488</v>
      </c>
      <c r="AI70" s="72">
        <v>24505488</v>
      </c>
      <c r="AJ70" s="72">
        <v>24505488</v>
      </c>
      <c r="AK70" s="72">
        <v>24505488</v>
      </c>
      <c r="AL70" s="72">
        <v>24505488</v>
      </c>
      <c r="AM70" s="72">
        <v>24505488</v>
      </c>
      <c r="AN70" s="72">
        <v>24505488</v>
      </c>
      <c r="AO70" s="72">
        <v>24505488</v>
      </c>
      <c r="AQ70" s="72">
        <v>24505488</v>
      </c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D70" s="72">
        <v>0</v>
      </c>
      <c r="BK70" s="72">
        <v>0</v>
      </c>
    </row>
    <row r="71" spans="1:66" ht="14.25" thickTop="1" thickBot="1">
      <c r="BD71" s="166"/>
    </row>
    <row r="72" spans="1:66" ht="13.5" hidden="1" thickBot="1"/>
    <row r="73" spans="1:66" ht="13.5" hidden="1" thickBot="1"/>
    <row r="74" spans="1:66" ht="13.5" hidden="1" thickBot="1">
      <c r="B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D74" s="148"/>
      <c r="BE74" s="148"/>
      <c r="BF74" s="148"/>
      <c r="BG74" s="148"/>
      <c r="BH74" s="148"/>
      <c r="BI74" s="148"/>
      <c r="BK74" s="148"/>
    </row>
    <row r="75" spans="1:66" ht="14.25" thickTop="1" thickBot="1">
      <c r="A75" s="167" t="s">
        <v>212</v>
      </c>
      <c r="B75" s="327">
        <f t="shared" ref="B75" si="192">+B10+B14+B61+B69</f>
        <v>140617311.81652001</v>
      </c>
      <c r="C75" s="167"/>
      <c r="D75" s="327">
        <f t="shared" ref="D75:I75" si="193">+D10+D14+D61+D69</f>
        <v>145864503.81652001</v>
      </c>
      <c r="E75" s="326">
        <f t="shared" si="193"/>
        <v>146653129.81652004</v>
      </c>
      <c r="F75" s="326">
        <f t="shared" si="193"/>
        <v>121349251.81652004</v>
      </c>
      <c r="G75" s="326">
        <f t="shared" si="193"/>
        <v>121624709.81652004</v>
      </c>
      <c r="H75" s="326">
        <f t="shared" si="193"/>
        <v>103689914.81652005</v>
      </c>
      <c r="I75" s="326">
        <f t="shared" si="193"/>
        <v>101294156.14652005</v>
      </c>
      <c r="J75" s="326">
        <f t="shared" ref="J75:O75" si="194">+J10+J14+J61+J69</f>
        <v>93443117.146520048</v>
      </c>
      <c r="K75" s="326">
        <f t="shared" si="194"/>
        <v>101923685.14652005</v>
      </c>
      <c r="L75" s="326">
        <f t="shared" si="194"/>
        <v>110824772.05952005</v>
      </c>
      <c r="M75" s="326">
        <f t="shared" si="194"/>
        <v>120488463.05952005</v>
      </c>
      <c r="N75" s="326">
        <f t="shared" si="194"/>
        <v>93086657.569520071</v>
      </c>
      <c r="O75" s="326">
        <f t="shared" si="194"/>
        <v>69057329.569520056</v>
      </c>
      <c r="P75" s="167"/>
      <c r="Q75" s="326">
        <f t="shared" ref="Q75:AB75" si="195">+Q10+Q14+Q61+Q69</f>
        <v>74355714.819520056</v>
      </c>
      <c r="R75" s="326">
        <f t="shared" si="195"/>
        <v>68643330.819520056</v>
      </c>
      <c r="S75" s="326">
        <f t="shared" si="195"/>
        <v>66495136.819520056</v>
      </c>
      <c r="T75" s="326">
        <f t="shared" si="195"/>
        <v>71277753.819520056</v>
      </c>
      <c r="U75" s="326">
        <f t="shared" si="195"/>
        <v>65849264.569520056</v>
      </c>
      <c r="V75" s="326">
        <f t="shared" si="195"/>
        <v>62586228.569520056</v>
      </c>
      <c r="W75" s="326">
        <f t="shared" si="195"/>
        <v>57761110.729520053</v>
      </c>
      <c r="X75" s="326">
        <f t="shared" si="195"/>
        <v>63488666.729520053</v>
      </c>
      <c r="Y75" s="326">
        <f t="shared" si="195"/>
        <v>59289583.913520053</v>
      </c>
      <c r="Z75" s="326">
        <f t="shared" si="195"/>
        <v>59217180.913520053</v>
      </c>
      <c r="AA75" s="326">
        <f t="shared" si="195"/>
        <v>52706264.913520053</v>
      </c>
      <c r="AB75" s="326">
        <f t="shared" si="195"/>
        <v>48427368.913520053</v>
      </c>
      <c r="AC75" s="514"/>
      <c r="AD75" s="326">
        <f>+AD10+AD15+AD14+AD61+AD69</f>
        <v>55811770.75</v>
      </c>
      <c r="AE75" s="168" t="e">
        <f>+AE10+AE15+AE14+AE61+#REF!</f>
        <v>#REF!</v>
      </c>
      <c r="AF75" s="168" t="e">
        <f>+AF10+AF15+AF14+AF61+#REF!</f>
        <v>#REF!</v>
      </c>
      <c r="AG75" s="168" t="e">
        <f>+AG10+AG15+AG14+AG61+#REF!</f>
        <v>#REF!</v>
      </c>
      <c r="AH75" s="168" t="e">
        <f>+AH10+AH15+AH14+AH61+#REF!</f>
        <v>#REF!</v>
      </c>
      <c r="AI75" s="168" t="e">
        <f>+AI10+AI15+AI14+AI61+#REF!</f>
        <v>#REF!</v>
      </c>
      <c r="AJ75" s="168" t="e">
        <f>+AJ10+AJ15+AJ14+AJ61+#REF!</f>
        <v>#REF!</v>
      </c>
      <c r="AK75" s="168" t="e">
        <f>+AK10+AK15+AK14+AK61+#REF!</f>
        <v>#REF!</v>
      </c>
      <c r="AL75" s="168" t="e">
        <f>+AL10+AL15+AL14+AL61+#REF!</f>
        <v>#REF!</v>
      </c>
      <c r="AM75" s="168" t="e">
        <f>+AM10+AM15+AM14+AM61+#REF!</f>
        <v>#REF!</v>
      </c>
      <c r="AN75" s="168" t="e">
        <f>+AN10+AN15+AN14+AN61+#REF!</f>
        <v>#REF!</v>
      </c>
      <c r="AO75" s="168" t="e">
        <f>+AO10+AO15+AO14+AO61+#REF!</f>
        <v>#REF!</v>
      </c>
      <c r="AP75" s="175"/>
      <c r="AQ75" s="326">
        <f>+AQ10+AQ15+AQ14+AQ61+AQ69</f>
        <v>44554429.152279995</v>
      </c>
      <c r="AR75" s="326">
        <f t="shared" ref="AR75:BB75" si="196">+AR61+AR14+AR10</f>
        <v>10528394</v>
      </c>
      <c r="AS75" s="326">
        <f t="shared" si="196"/>
        <v>49996275.829999998</v>
      </c>
      <c r="AT75" s="326">
        <f t="shared" si="196"/>
        <v>64151628.829999998</v>
      </c>
      <c r="AU75" s="326">
        <f t="shared" si="196"/>
        <v>41459709.259999998</v>
      </c>
      <c r="AV75" s="326">
        <f t="shared" si="196"/>
        <v>24099032.609999999</v>
      </c>
      <c r="AW75" s="326">
        <f t="shared" si="196"/>
        <v>24312085.609999999</v>
      </c>
      <c r="AX75" s="326">
        <f t="shared" si="196"/>
        <v>24525138.609999999</v>
      </c>
      <c r="AY75" s="326">
        <f t="shared" si="196"/>
        <v>25338363.609999999</v>
      </c>
      <c r="AZ75" s="326">
        <f t="shared" si="196"/>
        <v>23756666.609999999</v>
      </c>
      <c r="BA75" s="326">
        <f t="shared" si="196"/>
        <v>20842797</v>
      </c>
      <c r="BB75" s="326">
        <f t="shared" si="196"/>
        <v>19857850</v>
      </c>
      <c r="BC75" s="175"/>
      <c r="BD75" s="326">
        <f>+BD10+BD15+BD14+BD61+BD69</f>
        <v>25306581.1606667</v>
      </c>
      <c r="BE75" s="162">
        <f>+BE61+BE14+BE10</f>
        <v>0</v>
      </c>
      <c r="BF75" s="162">
        <f>+BF61+BF14+BF10</f>
        <v>0</v>
      </c>
      <c r="BG75" s="162">
        <f>+BG61+BG14+BG10</f>
        <v>0</v>
      </c>
      <c r="BH75" s="162">
        <f>+BH61+BH14+BH10</f>
        <v>0</v>
      </c>
      <c r="BI75" s="162">
        <f>+BI61+BI14+BI10</f>
        <v>0</v>
      </c>
      <c r="BJ75" s="183"/>
      <c r="BK75" s="327" t="e">
        <f>+BK61+BK14+BK10+#REF!</f>
        <v>#REF!</v>
      </c>
      <c r="BN75" s="492"/>
    </row>
    <row r="76" spans="1:66" ht="13.5" thickTop="1"/>
    <row r="77" spans="1:66">
      <c r="A77" s="139" t="s">
        <v>213</v>
      </c>
      <c r="B77" s="169"/>
      <c r="C77" s="13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3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3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76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76"/>
      <c r="BD77" s="169"/>
      <c r="BE77" s="169"/>
      <c r="BF77" s="169"/>
      <c r="BG77" s="169"/>
      <c r="BH77" s="169"/>
      <c r="BI77" s="169"/>
      <c r="BJ77" s="176"/>
      <c r="BK77" s="169"/>
    </row>
    <row r="78" spans="1:66" ht="13.5" thickBot="1">
      <c r="A78" s="140"/>
      <c r="B78" s="145"/>
      <c r="C78" s="140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0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0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</row>
    <row r="79" spans="1:66" ht="14.25" thickTop="1" thickBot="1">
      <c r="A79" s="140" t="s">
        <v>452</v>
      </c>
      <c r="B79" s="75">
        <f>SUM(B80:B93)</f>
        <v>4558817</v>
      </c>
      <c r="C79" s="171"/>
      <c r="D79" s="75">
        <f>SUM(D80:D93)</f>
        <v>10155997</v>
      </c>
      <c r="E79" s="75">
        <f>SUM(E80:E93)</f>
        <v>9427003</v>
      </c>
      <c r="F79" s="75">
        <f>SUM(F80:F93)</f>
        <v>13568568</v>
      </c>
      <c r="G79" s="75">
        <f>SUM(G80:G93)</f>
        <v>13337057</v>
      </c>
      <c r="H79" s="75">
        <f>SUM(H80:H93)</f>
        <v>16305931</v>
      </c>
      <c r="I79" s="75">
        <f t="shared" ref="I79:O79" si="197">SUM(I80:I93)</f>
        <v>19749101</v>
      </c>
      <c r="J79" s="75">
        <f t="shared" si="197"/>
        <v>17140322</v>
      </c>
      <c r="K79" s="75">
        <f t="shared" si="197"/>
        <v>20848428</v>
      </c>
      <c r="L79" s="75">
        <f t="shared" si="197"/>
        <v>25097114</v>
      </c>
      <c r="M79" s="75">
        <f t="shared" si="197"/>
        <v>30989022</v>
      </c>
      <c r="N79" s="75">
        <f t="shared" si="197"/>
        <v>11022534</v>
      </c>
      <c r="O79" s="75">
        <f t="shared" si="197"/>
        <v>7877156</v>
      </c>
      <c r="P79" s="171"/>
      <c r="Q79" s="101">
        <f>SUM(Q80:Q93)</f>
        <v>6941830</v>
      </c>
      <c r="R79" s="101">
        <f t="shared" ref="R79:AB79" si="198">SUM(R80:R93)</f>
        <v>2593000</v>
      </c>
      <c r="S79" s="101">
        <f t="shared" si="198"/>
        <v>3691704</v>
      </c>
      <c r="T79" s="101">
        <f t="shared" si="198"/>
        <v>4055497</v>
      </c>
      <c r="U79" s="101">
        <f t="shared" si="198"/>
        <v>2763553</v>
      </c>
      <c r="V79" s="101">
        <f t="shared" si="198"/>
        <v>2996811</v>
      </c>
      <c r="W79" s="101">
        <f>SUM(W80:W93)</f>
        <v>2161391</v>
      </c>
      <c r="X79" s="101">
        <f t="shared" si="198"/>
        <v>3213352</v>
      </c>
      <c r="Y79" s="101">
        <f t="shared" si="198"/>
        <v>1227706</v>
      </c>
      <c r="Z79" s="101">
        <f t="shared" si="198"/>
        <v>2027923</v>
      </c>
      <c r="AA79" s="101">
        <f t="shared" si="198"/>
        <v>1179269</v>
      </c>
      <c r="AB79" s="101">
        <f t="shared" si="198"/>
        <v>1329009</v>
      </c>
      <c r="AC79" s="493"/>
      <c r="AD79" s="75">
        <f t="shared" ref="AD79:AO79" si="199">SUM(AD80:AD93)</f>
        <v>40000</v>
      </c>
      <c r="AE79" s="101">
        <f t="shared" si="199"/>
        <v>29910000</v>
      </c>
      <c r="AF79" s="101">
        <f t="shared" si="199"/>
        <v>33910000</v>
      </c>
      <c r="AG79" s="101">
        <f t="shared" si="199"/>
        <v>29910000</v>
      </c>
      <c r="AH79" s="101">
        <f t="shared" si="199"/>
        <v>34210385.480000004</v>
      </c>
      <c r="AI79" s="101">
        <f t="shared" si="199"/>
        <v>36724324.109999999</v>
      </c>
      <c r="AJ79" s="101">
        <f t="shared" si="199"/>
        <v>75507001.349999994</v>
      </c>
      <c r="AK79" s="101">
        <f t="shared" si="199"/>
        <v>71511774.789999992</v>
      </c>
      <c r="AL79" s="101">
        <f t="shared" si="199"/>
        <v>67034381</v>
      </c>
      <c r="AM79" s="101">
        <f t="shared" si="199"/>
        <v>69882147.729999989</v>
      </c>
      <c r="AN79" s="101">
        <f t="shared" si="199"/>
        <v>41396356.730000004</v>
      </c>
      <c r="AO79" s="101">
        <f t="shared" si="199"/>
        <v>35845172</v>
      </c>
      <c r="AP79" s="65"/>
      <c r="AQ79" s="75">
        <f t="shared" ref="AQ79:BB79" si="200">SUM(AQ80:AQ93)</f>
        <v>32460000</v>
      </c>
      <c r="AR79" s="101">
        <f t="shared" si="200"/>
        <v>1694936.4512000009</v>
      </c>
      <c r="AS79" s="101">
        <f t="shared" si="200"/>
        <v>42400371.281199999</v>
      </c>
      <c r="AT79" s="101">
        <f t="shared" si="200"/>
        <v>43938472.721780002</v>
      </c>
      <c r="AU79" s="101">
        <f t="shared" si="200"/>
        <v>27215889.881219998</v>
      </c>
      <c r="AV79" s="101">
        <f t="shared" si="200"/>
        <v>18825168.478</v>
      </c>
      <c r="AW79" s="101">
        <f t="shared" si="200"/>
        <v>18846888.850000001</v>
      </c>
      <c r="AX79" s="101">
        <f t="shared" si="200"/>
        <v>18760643.399999999</v>
      </c>
      <c r="AY79" s="101">
        <f t="shared" si="200"/>
        <v>19032761.369999997</v>
      </c>
      <c r="AZ79" s="101">
        <f t="shared" si="200"/>
        <v>15672728.92</v>
      </c>
      <c r="BA79" s="101">
        <f t="shared" si="200"/>
        <v>16009813.5</v>
      </c>
      <c r="BB79" s="101">
        <f t="shared" si="200"/>
        <v>17136601.460000001</v>
      </c>
      <c r="BC79" s="94"/>
      <c r="BD79" s="101">
        <f>SUM(BD80:BD93)</f>
        <v>20000000</v>
      </c>
      <c r="BE79" s="101"/>
      <c r="BF79" s="101"/>
      <c r="BG79" s="101"/>
      <c r="BH79" s="101"/>
      <c r="BI79" s="101"/>
      <c r="BJ79" s="65"/>
      <c r="BK79" s="101">
        <f>SUM(BK80:BK93)</f>
        <v>0</v>
      </c>
    </row>
    <row r="80" spans="1:66" ht="13.5" hidden="1" thickTop="1">
      <c r="A80" s="313" t="s">
        <v>434</v>
      </c>
      <c r="B80" s="144">
        <v>0</v>
      </c>
      <c r="D80" s="144">
        <v>0</v>
      </c>
      <c r="E80" s="144">
        <f>-4008620-1679650-3920000</f>
        <v>-9608270</v>
      </c>
      <c r="F80" s="144">
        <f>-4008620-1679650</f>
        <v>-5688270</v>
      </c>
      <c r="G80" s="144">
        <v>-4008620</v>
      </c>
      <c r="H80" s="144">
        <v>-4008620</v>
      </c>
      <c r="I80" s="144">
        <f>2150000+762000+3000000-6000000</f>
        <v>-88000</v>
      </c>
      <c r="J80" s="144">
        <f>2150000+762000</f>
        <v>2912000</v>
      </c>
      <c r="K80" s="144">
        <f>762000+15050000-5000000-2700000</f>
        <v>8112000</v>
      </c>
      <c r="L80" s="144">
        <f>762000+15050000-5000000</f>
        <v>10812000</v>
      </c>
      <c r="M80" s="144">
        <f>762000+15050000</f>
        <v>15812000</v>
      </c>
      <c r="N80" s="144">
        <v>762000</v>
      </c>
      <c r="O80" s="144">
        <v>0</v>
      </c>
      <c r="Q80" s="144">
        <v>0</v>
      </c>
      <c r="R80" s="144">
        <v>0</v>
      </c>
      <c r="S80" s="144">
        <v>0</v>
      </c>
      <c r="T80" s="144">
        <v>0</v>
      </c>
      <c r="U80" s="144">
        <v>0</v>
      </c>
      <c r="V80" s="144">
        <v>0</v>
      </c>
      <c r="W80" s="144">
        <v>0</v>
      </c>
      <c r="X80" s="144">
        <v>0</v>
      </c>
      <c r="Y80" s="144">
        <v>0</v>
      </c>
      <c r="Z80" s="144">
        <v>0</v>
      </c>
      <c r="AA80" s="144">
        <v>0</v>
      </c>
      <c r="AB80" s="144">
        <v>0</v>
      </c>
      <c r="AD80" s="144">
        <f>23130000-12000000-11130000</f>
        <v>0</v>
      </c>
      <c r="AE80" s="144">
        <v>15610000</v>
      </c>
      <c r="AF80" s="144">
        <v>19610000</v>
      </c>
      <c r="AG80" s="144">
        <v>15610000</v>
      </c>
      <c r="AH80" s="144">
        <v>14110000</v>
      </c>
      <c r="AI80" s="144">
        <v>14110000</v>
      </c>
      <c r="AJ80" s="144">
        <v>53810000</v>
      </c>
      <c r="AK80" s="144">
        <v>51310000</v>
      </c>
      <c r="AL80" s="144">
        <v>49310000</v>
      </c>
      <c r="AM80" s="144">
        <v>49310000</v>
      </c>
      <c r="AN80" s="144">
        <v>21160000</v>
      </c>
      <c r="AO80" s="144">
        <v>18160000</v>
      </c>
      <c r="AP80" s="65"/>
      <c r="AQ80" s="144">
        <v>18160000</v>
      </c>
      <c r="AR80" s="144">
        <v>1694936.4512000009</v>
      </c>
      <c r="AS80" s="144">
        <v>42400371.281199999</v>
      </c>
      <c r="AT80" s="144">
        <v>43938472.721780002</v>
      </c>
      <c r="AU80" s="144">
        <v>27215889.881219998</v>
      </c>
      <c r="AV80" s="144">
        <v>18825168.478</v>
      </c>
      <c r="AW80" s="144">
        <v>18846888.850000001</v>
      </c>
      <c r="AX80" s="144">
        <v>18760643.399999999</v>
      </c>
      <c r="AY80" s="144">
        <v>19032761.369999997</v>
      </c>
      <c r="AZ80" s="144">
        <v>15672728.92</v>
      </c>
      <c r="BA80" s="144">
        <v>16009813.5</v>
      </c>
      <c r="BB80" s="144">
        <v>17136601.460000001</v>
      </c>
      <c r="BC80" s="65"/>
      <c r="BD80" s="144">
        <v>20000000</v>
      </c>
      <c r="BE80" s="144"/>
      <c r="BF80" s="144"/>
      <c r="BG80" s="144"/>
      <c r="BH80" s="144"/>
      <c r="BI80" s="144"/>
      <c r="BK80" s="144">
        <v>0</v>
      </c>
    </row>
    <row r="81" spans="1:63" ht="13.5" thickTop="1">
      <c r="A81" s="313" t="s">
        <v>435</v>
      </c>
      <c r="B81" s="500">
        <v>-6500000</v>
      </c>
      <c r="D81" s="144">
        <v>0</v>
      </c>
      <c r="E81" s="144">
        <v>0</v>
      </c>
      <c r="F81" s="144">
        <v>0</v>
      </c>
      <c r="G81" s="144">
        <v>0</v>
      </c>
      <c r="H81" s="144">
        <v>0</v>
      </c>
      <c r="I81" s="144">
        <v>0</v>
      </c>
      <c r="J81" s="144">
        <v>0</v>
      </c>
      <c r="K81" s="144">
        <v>0</v>
      </c>
      <c r="L81" s="144">
        <v>0</v>
      </c>
      <c r="M81" s="144">
        <v>0</v>
      </c>
      <c r="N81" s="144">
        <v>50000</v>
      </c>
      <c r="O81" s="144">
        <v>44000</v>
      </c>
      <c r="Q81" s="144">
        <v>44000</v>
      </c>
      <c r="R81" s="144">
        <v>44000</v>
      </c>
      <c r="S81" s="144">
        <v>44000</v>
      </c>
      <c r="T81" s="144">
        <v>44000</v>
      </c>
      <c r="U81" s="144">
        <v>44000</v>
      </c>
      <c r="V81" s="144">
        <f>+W81</f>
        <v>44000</v>
      </c>
      <c r="W81" s="144">
        <v>44000</v>
      </c>
      <c r="X81" s="144">
        <v>44000</v>
      </c>
      <c r="Y81" s="144">
        <v>44000</v>
      </c>
      <c r="Z81" s="144">
        <v>44000</v>
      </c>
      <c r="AA81" s="144">
        <v>44000</v>
      </c>
      <c r="AB81" s="144">
        <v>40000</v>
      </c>
      <c r="AD81" s="144">
        <v>40000</v>
      </c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65"/>
      <c r="AQ81" s="144">
        <v>0</v>
      </c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65"/>
      <c r="BD81" s="144"/>
      <c r="BE81" s="144"/>
      <c r="BF81" s="144"/>
      <c r="BG81" s="144"/>
      <c r="BH81" s="144"/>
      <c r="BI81" s="144"/>
      <c r="BK81" s="144"/>
    </row>
    <row r="82" spans="1:63" hidden="1">
      <c r="A82" s="313" t="s">
        <v>436</v>
      </c>
      <c r="B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Q82" s="144"/>
      <c r="R82" s="144"/>
      <c r="S82" s="144"/>
      <c r="T82" s="144"/>
      <c r="U82" s="144"/>
      <c r="V82" s="144">
        <v>0</v>
      </c>
      <c r="W82" s="144">
        <v>0</v>
      </c>
      <c r="X82" s="144">
        <v>0</v>
      </c>
      <c r="Y82" s="144">
        <v>0</v>
      </c>
      <c r="Z82" s="144">
        <v>0</v>
      </c>
      <c r="AA82" s="144">
        <v>0</v>
      </c>
      <c r="AB82" s="144">
        <v>0</v>
      </c>
      <c r="AD82" s="144">
        <v>0</v>
      </c>
      <c r="AE82" s="144">
        <v>0</v>
      </c>
      <c r="AF82" s="144" t="s">
        <v>214</v>
      </c>
      <c r="AG82" s="144">
        <v>0</v>
      </c>
      <c r="AH82" s="144">
        <v>5111908</v>
      </c>
      <c r="AI82" s="144">
        <v>7491908</v>
      </c>
      <c r="AJ82" s="144">
        <v>6691908</v>
      </c>
      <c r="AK82" s="144">
        <v>5541908</v>
      </c>
      <c r="AL82" s="144">
        <v>3161908</v>
      </c>
      <c r="AM82" s="144">
        <v>5507486</v>
      </c>
      <c r="AN82" s="144">
        <v>5367578</v>
      </c>
      <c r="AO82" s="144">
        <v>2725054</v>
      </c>
      <c r="AP82" s="65"/>
      <c r="AQ82" s="144">
        <v>0</v>
      </c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  <c r="BC82" s="65"/>
      <c r="BD82" s="144">
        <v>0</v>
      </c>
      <c r="BE82" s="144"/>
      <c r="BF82" s="144"/>
      <c r="BG82" s="144"/>
      <c r="BH82" s="144"/>
      <c r="BI82" s="144"/>
      <c r="BK82" s="144">
        <v>0</v>
      </c>
    </row>
    <row r="83" spans="1:63">
      <c r="A83" s="340" t="s">
        <v>450</v>
      </c>
      <c r="B83" s="144">
        <v>2065997</v>
      </c>
      <c r="D83" s="144">
        <v>2065997</v>
      </c>
      <c r="E83" s="144">
        <v>2997997</v>
      </c>
      <c r="F83" s="144">
        <v>2896997</v>
      </c>
      <c r="G83" s="144">
        <f>+H83+931999-931999</f>
        <v>1863998</v>
      </c>
      <c r="H83" s="144">
        <f>+I83+931999-931999</f>
        <v>1863998</v>
      </c>
      <c r="I83" s="144">
        <f>+J83+931999-931999</f>
        <v>1863998</v>
      </c>
      <c r="J83" s="144">
        <f>931999+931999</f>
        <v>1863998</v>
      </c>
      <c r="K83" s="144">
        <v>931999</v>
      </c>
      <c r="L83" s="144">
        <v>1863998</v>
      </c>
      <c r="M83" s="144">
        <v>1863998</v>
      </c>
      <c r="N83" s="144">
        <v>1851998</v>
      </c>
      <c r="O83" s="144">
        <v>919999</v>
      </c>
      <c r="Q83" s="144">
        <f>+R83</f>
        <v>919999</v>
      </c>
      <c r="R83" s="144">
        <f>+S83</f>
        <v>919999</v>
      </c>
      <c r="S83" s="144">
        <v>919999</v>
      </c>
      <c r="T83" s="144">
        <v>890000</v>
      </c>
      <c r="U83" s="144">
        <v>20000</v>
      </c>
      <c r="V83" s="144"/>
      <c r="W83" s="144">
        <v>0</v>
      </c>
      <c r="X83" s="144">
        <v>870000</v>
      </c>
      <c r="Y83" s="144"/>
      <c r="Z83" s="144"/>
      <c r="AA83" s="144"/>
      <c r="AB83" s="144"/>
      <c r="AD83" s="144">
        <v>0</v>
      </c>
      <c r="AE83" s="144"/>
      <c r="AF83" s="144"/>
      <c r="AG83" s="144"/>
      <c r="AH83" s="144"/>
      <c r="AI83" s="144"/>
      <c r="AJ83" s="144"/>
      <c r="AK83" s="144"/>
      <c r="AL83" s="144"/>
      <c r="AM83" s="144"/>
      <c r="AN83" s="144"/>
      <c r="AO83" s="144"/>
      <c r="AP83" s="65"/>
      <c r="AQ83" s="144">
        <v>0</v>
      </c>
      <c r="AR83" s="144"/>
      <c r="AS83" s="144"/>
      <c r="AT83" s="144"/>
      <c r="AU83" s="144"/>
      <c r="AV83" s="144"/>
      <c r="AW83" s="144"/>
      <c r="AX83" s="144"/>
      <c r="AY83" s="144"/>
      <c r="AZ83" s="144"/>
      <c r="BA83" s="144"/>
      <c r="BB83" s="144"/>
      <c r="BC83" s="65"/>
      <c r="BD83" s="144"/>
      <c r="BE83" s="144"/>
      <c r="BF83" s="144"/>
      <c r="BG83" s="144"/>
      <c r="BH83" s="144"/>
      <c r="BI83" s="144"/>
      <c r="BK83" s="144"/>
    </row>
    <row r="84" spans="1:63" hidden="1">
      <c r="A84" s="313" t="s">
        <v>437</v>
      </c>
      <c r="B84" s="144">
        <v>0</v>
      </c>
      <c r="C84" s="170"/>
      <c r="D84" s="144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0</v>
      </c>
      <c r="J84" s="144">
        <v>0</v>
      </c>
      <c r="K84" s="144">
        <v>0</v>
      </c>
      <c r="L84" s="144">
        <v>0</v>
      </c>
      <c r="M84" s="144">
        <v>0</v>
      </c>
      <c r="N84" s="144">
        <v>452200</v>
      </c>
      <c r="O84" s="144">
        <v>226100</v>
      </c>
      <c r="P84" s="170"/>
      <c r="Q84" s="144">
        <v>0</v>
      </c>
      <c r="R84" s="144">
        <v>0</v>
      </c>
      <c r="S84" s="144">
        <v>404600</v>
      </c>
      <c r="T84" s="144">
        <f>606900</f>
        <v>606900</v>
      </c>
      <c r="U84" s="144">
        <v>404600</v>
      </c>
      <c r="V84" s="337">
        <f>+W84+202300</f>
        <v>606900</v>
      </c>
      <c r="W84" s="144">
        <v>404600</v>
      </c>
      <c r="X84" s="144">
        <f>+Y84+202300</f>
        <v>606900</v>
      </c>
      <c r="Y84" s="144">
        <f>+Z84</f>
        <v>404600</v>
      </c>
      <c r="Z84" s="144">
        <f>+AA84</f>
        <v>404600</v>
      </c>
      <c r="AA84" s="144">
        <f>+AB84+202300</f>
        <v>404600</v>
      </c>
      <c r="AB84" s="144">
        <v>202300</v>
      </c>
      <c r="AC84" s="170"/>
      <c r="AD84" s="144">
        <v>0</v>
      </c>
      <c r="AE84" s="144">
        <v>0</v>
      </c>
      <c r="AF84" s="144">
        <v>0</v>
      </c>
      <c r="AG84" s="144">
        <v>0</v>
      </c>
      <c r="AH84" s="144">
        <v>0</v>
      </c>
      <c r="AI84" s="144">
        <v>202300</v>
      </c>
      <c r="AJ84" s="144">
        <v>202300</v>
      </c>
      <c r="AK84" s="144">
        <v>0</v>
      </c>
      <c r="AL84" s="144">
        <v>0</v>
      </c>
      <c r="AM84" s="144">
        <v>202300</v>
      </c>
      <c r="AN84" s="144">
        <v>0</v>
      </c>
      <c r="AO84" s="144">
        <v>0</v>
      </c>
      <c r="AP84" s="65"/>
      <c r="AQ84" s="144">
        <v>0</v>
      </c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  <c r="BC84" s="65"/>
      <c r="BD84" s="144">
        <v>0</v>
      </c>
      <c r="BE84" s="144"/>
      <c r="BF84" s="144"/>
      <c r="BG84" s="144"/>
      <c r="BH84" s="144"/>
      <c r="BI84" s="144"/>
      <c r="BK84" s="144">
        <v>0</v>
      </c>
    </row>
    <row r="85" spans="1:63" hidden="1">
      <c r="A85" s="313" t="s">
        <v>455</v>
      </c>
      <c r="B85" s="144">
        <v>0</v>
      </c>
      <c r="C85" s="170"/>
      <c r="D85" s="144">
        <v>0</v>
      </c>
      <c r="E85" s="144">
        <v>0</v>
      </c>
      <c r="F85" s="144">
        <v>0</v>
      </c>
      <c r="G85" s="144">
        <v>0</v>
      </c>
      <c r="H85" s="144">
        <v>0</v>
      </c>
      <c r="I85" s="144">
        <v>0</v>
      </c>
      <c r="J85" s="144">
        <v>0</v>
      </c>
      <c r="K85" s="144">
        <v>0</v>
      </c>
      <c r="L85" s="144">
        <v>0</v>
      </c>
      <c r="M85" s="144">
        <v>0</v>
      </c>
      <c r="N85" s="144">
        <v>0</v>
      </c>
      <c r="O85" s="144">
        <v>0</v>
      </c>
      <c r="P85" s="170"/>
      <c r="Q85" s="144">
        <v>0</v>
      </c>
      <c r="R85" s="144">
        <v>0</v>
      </c>
      <c r="S85" s="144"/>
      <c r="T85" s="144">
        <v>35000</v>
      </c>
      <c r="U85" s="144"/>
      <c r="V85" s="337"/>
      <c r="W85" s="144"/>
      <c r="X85" s="144"/>
      <c r="Y85" s="144"/>
      <c r="Z85" s="144"/>
      <c r="AA85" s="144"/>
      <c r="AB85" s="144"/>
      <c r="AC85" s="170"/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  <c r="AN85" s="144"/>
      <c r="AO85" s="144"/>
      <c r="AP85" s="65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144"/>
      <c r="BC85" s="65"/>
      <c r="BD85" s="144"/>
      <c r="BE85" s="144"/>
      <c r="BF85" s="144"/>
      <c r="BG85" s="144"/>
      <c r="BH85" s="144"/>
      <c r="BI85" s="144"/>
      <c r="BK85" s="144"/>
    </row>
    <row r="86" spans="1:63">
      <c r="A86" s="313" t="s">
        <v>618</v>
      </c>
      <c r="B86" s="144">
        <v>0</v>
      </c>
      <c r="C86" s="170"/>
      <c r="D86" s="144">
        <v>90000</v>
      </c>
      <c r="E86" s="144">
        <v>0</v>
      </c>
      <c r="F86" s="144">
        <v>0</v>
      </c>
      <c r="G86" s="144">
        <v>0</v>
      </c>
      <c r="H86" s="144">
        <v>60000</v>
      </c>
      <c r="I86" s="144">
        <v>60000</v>
      </c>
      <c r="J86" s="144">
        <v>60000</v>
      </c>
      <c r="K86" s="144"/>
      <c r="L86" s="144"/>
      <c r="M86" s="144"/>
      <c r="N86" s="144"/>
      <c r="O86" s="144"/>
      <c r="P86" s="170"/>
      <c r="Q86" s="144"/>
      <c r="R86" s="144"/>
      <c r="S86" s="144"/>
      <c r="T86" s="144"/>
      <c r="U86" s="144"/>
      <c r="V86" s="337"/>
      <c r="W86" s="144"/>
      <c r="X86" s="144"/>
      <c r="Y86" s="144"/>
      <c r="Z86" s="144"/>
      <c r="AA86" s="144"/>
      <c r="AB86" s="144"/>
      <c r="AC86" s="170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65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65"/>
      <c r="BD86" s="144"/>
      <c r="BE86" s="144"/>
      <c r="BF86" s="144"/>
      <c r="BG86" s="144"/>
      <c r="BH86" s="144"/>
      <c r="BI86" s="144"/>
      <c r="BK86" s="144"/>
    </row>
    <row r="87" spans="1:63">
      <c r="A87" s="313" t="s">
        <v>639</v>
      </c>
      <c r="B87" s="144">
        <v>8000000</v>
      </c>
      <c r="C87" s="170"/>
      <c r="D87" s="144">
        <v>8000000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70"/>
      <c r="Q87" s="144"/>
      <c r="R87" s="144"/>
      <c r="S87" s="144"/>
      <c r="T87" s="144"/>
      <c r="U87" s="144"/>
      <c r="V87" s="337"/>
      <c r="W87" s="144"/>
      <c r="X87" s="144"/>
      <c r="Y87" s="144"/>
      <c r="Z87" s="144"/>
      <c r="AA87" s="144"/>
      <c r="AB87" s="144"/>
      <c r="AC87" s="170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65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144"/>
      <c r="BC87" s="65"/>
      <c r="BD87" s="144"/>
      <c r="BE87" s="144"/>
      <c r="BF87" s="144"/>
      <c r="BG87" s="144"/>
      <c r="BH87" s="144"/>
      <c r="BI87" s="144"/>
      <c r="BK87" s="144"/>
    </row>
    <row r="88" spans="1:63">
      <c r="A88" s="313" t="s">
        <v>456</v>
      </c>
      <c r="B88" s="144">
        <v>0</v>
      </c>
      <c r="C88" s="170"/>
      <c r="D88" s="144">
        <v>0</v>
      </c>
      <c r="E88" s="500">
        <v>4620000</v>
      </c>
      <c r="F88" s="500">
        <v>4620000</v>
      </c>
      <c r="G88" s="500">
        <v>4620000</v>
      </c>
      <c r="H88" s="500">
        <v>4620000</v>
      </c>
      <c r="I88" s="500">
        <v>4620000</v>
      </c>
      <c r="J88" s="500">
        <v>4620000</v>
      </c>
      <c r="K88" s="500">
        <v>4620000</v>
      </c>
      <c r="L88" s="500">
        <v>4620000</v>
      </c>
      <c r="M88" s="500">
        <v>4620000</v>
      </c>
      <c r="N88" s="500">
        <v>4620000</v>
      </c>
      <c r="O88" s="500">
        <v>4620000</v>
      </c>
      <c r="P88" s="170"/>
      <c r="Q88" s="144">
        <v>4620000</v>
      </c>
      <c r="R88" s="144">
        <v>0</v>
      </c>
      <c r="S88" s="144"/>
      <c r="T88" s="144"/>
      <c r="U88" s="144"/>
      <c r="V88" s="337"/>
      <c r="W88" s="144"/>
      <c r="X88" s="144"/>
      <c r="Y88" s="144"/>
      <c r="Z88" s="144"/>
      <c r="AA88" s="144"/>
      <c r="AB88" s="144"/>
      <c r="AC88" s="170"/>
      <c r="AD88" s="144">
        <v>0</v>
      </c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65"/>
      <c r="AQ88" s="144">
        <v>0</v>
      </c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65"/>
      <c r="BD88" s="144"/>
      <c r="BE88" s="144"/>
      <c r="BF88" s="144"/>
      <c r="BG88" s="144"/>
      <c r="BH88" s="144"/>
      <c r="BI88" s="144"/>
      <c r="BK88" s="144"/>
    </row>
    <row r="89" spans="1:63" ht="11.25" customHeight="1">
      <c r="A89" s="313" t="s">
        <v>638</v>
      </c>
      <c r="B89" s="144">
        <v>0</v>
      </c>
      <c r="C89" s="170"/>
      <c r="D89" s="144">
        <v>0</v>
      </c>
      <c r="E89" s="144">
        <v>0</v>
      </c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70"/>
      <c r="Q89" s="144"/>
      <c r="R89" s="144"/>
      <c r="S89" s="144"/>
      <c r="T89" s="144"/>
      <c r="U89" s="144"/>
      <c r="V89" s="337"/>
      <c r="W89" s="144"/>
      <c r="X89" s="144"/>
      <c r="Y89" s="144"/>
      <c r="Z89" s="144"/>
      <c r="AA89" s="144"/>
      <c r="AB89" s="144"/>
      <c r="AC89" s="170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65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65"/>
      <c r="BD89" s="144"/>
      <c r="BE89" s="144"/>
      <c r="BF89" s="144"/>
      <c r="BG89" s="144"/>
      <c r="BH89" s="144"/>
      <c r="BI89" s="144"/>
      <c r="BK89" s="144"/>
    </row>
    <row r="90" spans="1:63" hidden="1">
      <c r="A90" s="313" t="s">
        <v>592</v>
      </c>
      <c r="B90" s="144">
        <v>0</v>
      </c>
      <c r="C90" s="170"/>
      <c r="D90" s="144">
        <v>0</v>
      </c>
      <c r="E90" s="144">
        <v>0</v>
      </c>
      <c r="F90" s="144">
        <v>189673</v>
      </c>
      <c r="G90" s="144">
        <v>0</v>
      </c>
      <c r="H90" s="144">
        <v>0</v>
      </c>
      <c r="I90" s="144">
        <v>0</v>
      </c>
      <c r="J90" s="144">
        <v>72128</v>
      </c>
      <c r="K90" s="144">
        <v>0</v>
      </c>
      <c r="L90" s="144">
        <v>0</v>
      </c>
      <c r="M90" s="144">
        <v>654694</v>
      </c>
      <c r="N90" s="144">
        <v>654694</v>
      </c>
      <c r="O90" s="144">
        <v>654694</v>
      </c>
      <c r="P90" s="170"/>
      <c r="Q90" s="144">
        <v>0</v>
      </c>
      <c r="R90" s="144"/>
      <c r="S90" s="144"/>
      <c r="T90" s="144"/>
      <c r="U90" s="144"/>
      <c r="V90" s="337"/>
      <c r="W90" s="144"/>
      <c r="X90" s="144"/>
      <c r="Y90" s="144"/>
      <c r="Z90" s="144"/>
      <c r="AA90" s="144"/>
      <c r="AB90" s="144"/>
      <c r="AC90" s="170"/>
      <c r="AD90" s="144">
        <v>0</v>
      </c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65"/>
      <c r="AQ90" s="144">
        <v>0</v>
      </c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65"/>
      <c r="BD90" s="144"/>
      <c r="BE90" s="144"/>
      <c r="BF90" s="144"/>
      <c r="BG90" s="144"/>
      <c r="BH90" s="144"/>
      <c r="BI90" s="144"/>
      <c r="BK90" s="144"/>
    </row>
    <row r="91" spans="1:63">
      <c r="A91" s="313" t="s">
        <v>605</v>
      </c>
      <c r="B91" s="144">
        <v>227999</v>
      </c>
      <c r="C91" s="170"/>
      <c r="D91" s="144">
        <v>0</v>
      </c>
      <c r="E91" s="144">
        <v>0</v>
      </c>
      <c r="F91" s="144">
        <v>214198</v>
      </c>
      <c r="G91" s="144">
        <v>0</v>
      </c>
      <c r="H91" s="144">
        <v>214198</v>
      </c>
      <c r="I91" s="144">
        <v>0</v>
      </c>
      <c r="J91" s="144">
        <v>209999</v>
      </c>
      <c r="K91" s="144">
        <v>209999</v>
      </c>
      <c r="L91" s="144">
        <v>419998</v>
      </c>
      <c r="M91" s="144">
        <v>0</v>
      </c>
      <c r="N91" s="144">
        <v>0</v>
      </c>
      <c r="O91" s="144">
        <v>0</v>
      </c>
      <c r="P91" s="170"/>
      <c r="Q91" s="144">
        <v>0</v>
      </c>
      <c r="R91" s="144"/>
      <c r="S91" s="144"/>
      <c r="T91" s="144"/>
      <c r="U91" s="144"/>
      <c r="V91" s="337"/>
      <c r="W91" s="144"/>
      <c r="X91" s="144"/>
      <c r="Y91" s="144"/>
      <c r="Z91" s="144"/>
      <c r="AA91" s="144"/>
      <c r="AB91" s="144"/>
      <c r="AC91" s="170"/>
      <c r="AD91" s="144">
        <v>0</v>
      </c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65"/>
      <c r="AQ91" s="144">
        <v>0</v>
      </c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144"/>
      <c r="BC91" s="65"/>
      <c r="BD91" s="144"/>
      <c r="BE91" s="144"/>
      <c r="BF91" s="144"/>
      <c r="BG91" s="144"/>
      <c r="BH91" s="144"/>
      <c r="BI91" s="144"/>
      <c r="BK91" s="144"/>
    </row>
    <row r="92" spans="1:63" ht="13.5" thickBot="1">
      <c r="A92" s="313" t="s">
        <v>438</v>
      </c>
      <c r="B92" s="144">
        <v>764821</v>
      </c>
      <c r="D92" s="144">
        <v>0</v>
      </c>
      <c r="E92" s="144">
        <f>2307169-10785</f>
        <v>2296384</v>
      </c>
      <c r="F92" s="144">
        <f>2225863-10785</f>
        <v>2215078</v>
      </c>
      <c r="G92" s="144">
        <f>1751572-10785</f>
        <v>1740787</v>
      </c>
      <c r="H92" s="144">
        <v>2294355</v>
      </c>
      <c r="I92" s="144">
        <v>2031103</v>
      </c>
      <c r="J92" s="144">
        <f>1212430+427767</f>
        <v>1640197</v>
      </c>
      <c r="K92" s="144">
        <v>1212430</v>
      </c>
      <c r="L92" s="144">
        <v>1619118</v>
      </c>
      <c r="M92" s="144">
        <v>2276330</v>
      </c>
      <c r="N92" s="144">
        <v>1869642</v>
      </c>
      <c r="O92" s="144">
        <v>1412363</v>
      </c>
      <c r="Q92" s="144">
        <v>1357831</v>
      </c>
      <c r="R92" s="144">
        <v>1629001</v>
      </c>
      <c r="S92" s="144">
        <v>2323105</v>
      </c>
      <c r="T92" s="144">
        <v>2479597</v>
      </c>
      <c r="U92" s="144">
        <v>2294953</v>
      </c>
      <c r="V92" s="144">
        <f>+W92+633120</f>
        <v>2345911</v>
      </c>
      <c r="W92" s="144">
        <f>913346+799445</f>
        <v>1712791</v>
      </c>
      <c r="X92" s="144">
        <f>+Y92+913346</f>
        <v>1692452</v>
      </c>
      <c r="Y92" s="144">
        <v>779106</v>
      </c>
      <c r="Z92" s="144">
        <f>848654+AA92</f>
        <v>1579323</v>
      </c>
      <c r="AA92" s="144">
        <v>730669</v>
      </c>
      <c r="AB92" s="144">
        <v>1086709</v>
      </c>
      <c r="AD92" s="173">
        <v>0</v>
      </c>
      <c r="AE92" s="144">
        <v>0</v>
      </c>
      <c r="AF92" s="144">
        <v>0</v>
      </c>
      <c r="AG92" s="144">
        <v>0</v>
      </c>
      <c r="AH92" s="144">
        <v>688477.48</v>
      </c>
      <c r="AI92" s="144">
        <v>620116.11</v>
      </c>
      <c r="AJ92" s="144">
        <v>502793.35</v>
      </c>
      <c r="AK92" s="144">
        <v>359866.79</v>
      </c>
      <c r="AL92" s="144">
        <v>262473</v>
      </c>
      <c r="AM92" s="144">
        <v>562361.73</v>
      </c>
      <c r="AN92" s="144">
        <v>568778.73</v>
      </c>
      <c r="AO92" s="144">
        <v>660118</v>
      </c>
      <c r="AP92" s="65"/>
      <c r="AQ92" s="144">
        <v>0</v>
      </c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  <c r="BC92" s="65"/>
      <c r="BD92" s="144">
        <v>0</v>
      </c>
      <c r="BE92" s="144"/>
      <c r="BF92" s="144"/>
      <c r="BG92" s="144"/>
      <c r="BH92" s="144"/>
      <c r="BI92" s="144"/>
      <c r="BK92" s="144">
        <v>0</v>
      </c>
    </row>
    <row r="93" spans="1:63" ht="14.25" hidden="1" thickTop="1" thickBot="1">
      <c r="A93" s="313" t="s">
        <v>457</v>
      </c>
      <c r="B93" s="173">
        <v>0</v>
      </c>
      <c r="D93" s="173">
        <v>0</v>
      </c>
      <c r="E93" s="173">
        <f>11262000-2141108</f>
        <v>9120892</v>
      </c>
      <c r="F93" s="173">
        <f>11262000-2141108</f>
        <v>9120892</v>
      </c>
      <c r="G93" s="173">
        <f>11262000-2141108</f>
        <v>9120892</v>
      </c>
      <c r="H93" s="173">
        <v>11262000</v>
      </c>
      <c r="I93" s="173">
        <v>11262000</v>
      </c>
      <c r="J93" s="173">
        <f>762000+5000000</f>
        <v>5762000</v>
      </c>
      <c r="K93" s="173">
        <f>762000+5000000</f>
        <v>5762000</v>
      </c>
      <c r="L93" s="173">
        <f>762000+5000000</f>
        <v>5762000</v>
      </c>
      <c r="M93" s="173">
        <f>762000+5000000</f>
        <v>5762000</v>
      </c>
      <c r="N93" s="173">
        <v>762000</v>
      </c>
      <c r="O93" s="173">
        <v>0</v>
      </c>
      <c r="Q93" s="173">
        <v>0</v>
      </c>
      <c r="R93" s="173">
        <v>0</v>
      </c>
      <c r="S93" s="173"/>
      <c r="T93" s="173">
        <v>0</v>
      </c>
      <c r="U93" s="173">
        <v>0</v>
      </c>
      <c r="V93" s="173">
        <v>0</v>
      </c>
      <c r="W93" s="173">
        <v>0</v>
      </c>
      <c r="X93" s="173">
        <v>0</v>
      </c>
      <c r="Y93" s="173">
        <v>0</v>
      </c>
      <c r="Z93" s="173">
        <v>0</v>
      </c>
      <c r="AA93" s="173">
        <v>0</v>
      </c>
      <c r="AB93" s="173">
        <v>0</v>
      </c>
      <c r="AD93" s="72">
        <v>0</v>
      </c>
      <c r="AE93" s="173">
        <v>14300000</v>
      </c>
      <c r="AF93" s="173">
        <v>14300000</v>
      </c>
      <c r="AG93" s="173">
        <v>14300000</v>
      </c>
      <c r="AH93" s="173">
        <v>14300000</v>
      </c>
      <c r="AI93" s="173">
        <v>14300000</v>
      </c>
      <c r="AJ93" s="173">
        <v>14300000</v>
      </c>
      <c r="AK93" s="173">
        <v>14300000</v>
      </c>
      <c r="AL93" s="173">
        <v>14300000</v>
      </c>
      <c r="AM93" s="173">
        <v>14300000</v>
      </c>
      <c r="AN93" s="173">
        <v>14300000</v>
      </c>
      <c r="AO93" s="173">
        <v>14300000</v>
      </c>
      <c r="AP93" s="65"/>
      <c r="AQ93" s="173">
        <v>14300000</v>
      </c>
      <c r="AR93" s="173"/>
      <c r="AS93" s="173"/>
      <c r="AT93" s="173"/>
      <c r="AU93" s="173"/>
      <c r="AV93" s="173"/>
      <c r="AW93" s="173"/>
      <c r="AX93" s="173"/>
      <c r="AY93" s="173"/>
      <c r="AZ93" s="173"/>
      <c r="BA93" s="173"/>
      <c r="BB93" s="173"/>
      <c r="BC93" s="65"/>
      <c r="BD93" s="173">
        <v>0</v>
      </c>
      <c r="BE93" s="173">
        <v>0</v>
      </c>
      <c r="BF93" s="173">
        <v>0</v>
      </c>
      <c r="BG93" s="173">
        <v>0</v>
      </c>
      <c r="BH93" s="173">
        <v>0</v>
      </c>
      <c r="BI93" s="173"/>
      <c r="BJ93" s="94"/>
      <c r="BK93" s="173">
        <v>0</v>
      </c>
    </row>
    <row r="94" spans="1:63" ht="14.25" thickTop="1" thickBot="1">
      <c r="A94" s="171"/>
      <c r="B94" s="499"/>
      <c r="D94" s="499"/>
      <c r="Q94" s="499"/>
    </row>
    <row r="95" spans="1:63" ht="14.25" hidden="1" thickTop="1" thickBot="1">
      <c r="A95" s="140" t="s">
        <v>215</v>
      </c>
      <c r="B95" s="101">
        <f t="shared" ref="B95:O95" si="201">+B96</f>
        <v>0</v>
      </c>
      <c r="C95" s="70"/>
      <c r="D95" s="101">
        <f t="shared" si="201"/>
        <v>0</v>
      </c>
      <c r="E95" s="101">
        <f t="shared" si="201"/>
        <v>0</v>
      </c>
      <c r="F95" s="101">
        <f t="shared" si="201"/>
        <v>0</v>
      </c>
      <c r="G95" s="101">
        <f t="shared" si="201"/>
        <v>0</v>
      </c>
      <c r="H95" s="101">
        <f t="shared" si="201"/>
        <v>0</v>
      </c>
      <c r="I95" s="101">
        <f t="shared" si="201"/>
        <v>0</v>
      </c>
      <c r="J95" s="101">
        <f t="shared" si="201"/>
        <v>0</v>
      </c>
      <c r="K95" s="101">
        <f t="shared" si="201"/>
        <v>0</v>
      </c>
      <c r="L95" s="101">
        <f t="shared" si="201"/>
        <v>0</v>
      </c>
      <c r="M95" s="101">
        <f t="shared" si="201"/>
        <v>0</v>
      </c>
      <c r="N95" s="101">
        <f t="shared" si="201"/>
        <v>0</v>
      </c>
      <c r="O95" s="101">
        <f t="shared" si="201"/>
        <v>0</v>
      </c>
      <c r="P95" s="70"/>
      <c r="Q95" s="101">
        <f>+Q96</f>
        <v>0</v>
      </c>
      <c r="R95" s="101">
        <f>+R96</f>
        <v>0</v>
      </c>
      <c r="S95" s="101">
        <f>+S96</f>
        <v>0</v>
      </c>
      <c r="T95" s="101">
        <f>+T96</f>
        <v>0</v>
      </c>
      <c r="U95" s="101">
        <f t="shared" ref="U95:AO95" si="202">+U96</f>
        <v>0</v>
      </c>
      <c r="V95" s="101">
        <f t="shared" si="202"/>
        <v>0</v>
      </c>
      <c r="W95" s="101">
        <f t="shared" si="202"/>
        <v>0</v>
      </c>
      <c r="X95" s="101">
        <f t="shared" si="202"/>
        <v>0</v>
      </c>
      <c r="Y95" s="101">
        <f t="shared" si="202"/>
        <v>0</v>
      </c>
      <c r="Z95" s="101">
        <f t="shared" si="202"/>
        <v>0</v>
      </c>
      <c r="AA95" s="101">
        <f t="shared" si="202"/>
        <v>0</v>
      </c>
      <c r="AB95" s="101">
        <f t="shared" si="202"/>
        <v>0</v>
      </c>
      <c r="AC95" s="70"/>
      <c r="AD95" s="101">
        <f t="shared" si="202"/>
        <v>0</v>
      </c>
      <c r="AE95" s="101">
        <f t="shared" si="202"/>
        <v>0</v>
      </c>
      <c r="AF95" s="101">
        <f t="shared" si="202"/>
        <v>0</v>
      </c>
      <c r="AG95" s="101">
        <f t="shared" si="202"/>
        <v>0</v>
      </c>
      <c r="AH95" s="101">
        <f t="shared" si="202"/>
        <v>0</v>
      </c>
      <c r="AI95" s="101">
        <f t="shared" si="202"/>
        <v>0</v>
      </c>
      <c r="AJ95" s="101">
        <f t="shared" si="202"/>
        <v>0</v>
      </c>
      <c r="AK95" s="101">
        <f t="shared" si="202"/>
        <v>0</v>
      </c>
      <c r="AL95" s="101">
        <f t="shared" si="202"/>
        <v>0</v>
      </c>
      <c r="AM95" s="101">
        <f t="shared" si="202"/>
        <v>0</v>
      </c>
      <c r="AN95" s="101">
        <f t="shared" si="202"/>
        <v>0</v>
      </c>
      <c r="AO95" s="101">
        <f t="shared" si="202"/>
        <v>0</v>
      </c>
      <c r="AP95" s="95"/>
      <c r="AQ95" s="101">
        <f>+AQ96</f>
        <v>0</v>
      </c>
      <c r="AR95" s="101">
        <f>+AR96</f>
        <v>2380000</v>
      </c>
      <c r="AS95" s="101">
        <f>+AS96</f>
        <v>2380000</v>
      </c>
      <c r="AT95" s="101">
        <f>+AT96</f>
        <v>2380000</v>
      </c>
      <c r="AU95" s="101"/>
      <c r="AV95" s="101"/>
      <c r="AW95" s="101"/>
      <c r="AX95" s="101"/>
      <c r="AY95" s="101"/>
      <c r="AZ95" s="101"/>
      <c r="BA95" s="101"/>
      <c r="BB95" s="75"/>
      <c r="BC95" s="95"/>
      <c r="BD95" s="75"/>
      <c r="BE95" s="75"/>
      <c r="BF95" s="75"/>
      <c r="BG95" s="75"/>
      <c r="BH95" s="75"/>
      <c r="BI95" s="75"/>
      <c r="BJ95" s="95"/>
      <c r="BK95" s="75"/>
    </row>
    <row r="96" spans="1:63" ht="14.25" hidden="1" thickTop="1" thickBot="1">
      <c r="A96" s="64" t="s">
        <v>216</v>
      </c>
      <c r="B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Z96" s="102">
        <v>0</v>
      </c>
      <c r="AA96" s="102">
        <v>0</v>
      </c>
      <c r="AB96" s="102">
        <v>0</v>
      </c>
      <c r="AD96" s="102">
        <v>0</v>
      </c>
      <c r="AE96" s="102">
        <v>0</v>
      </c>
      <c r="AF96" s="102">
        <v>0</v>
      </c>
      <c r="AG96" s="102">
        <v>0</v>
      </c>
      <c r="AH96" s="102">
        <v>0</v>
      </c>
      <c r="AI96" s="102">
        <v>0</v>
      </c>
      <c r="AJ96" s="102">
        <v>0</v>
      </c>
      <c r="AK96" s="102">
        <v>0</v>
      </c>
      <c r="AL96" s="102">
        <v>0</v>
      </c>
      <c r="AM96" s="102">
        <v>0</v>
      </c>
      <c r="AN96" s="102">
        <v>0</v>
      </c>
      <c r="AO96" s="102">
        <v>0</v>
      </c>
      <c r="AP96" s="94"/>
      <c r="AQ96" s="102">
        <v>0</v>
      </c>
      <c r="AR96" s="102">
        <v>2380000</v>
      </c>
      <c r="AS96" s="102">
        <v>2380000</v>
      </c>
      <c r="AT96" s="102">
        <v>2380000</v>
      </c>
      <c r="AU96" s="102"/>
      <c r="AV96" s="102"/>
      <c r="AW96" s="102"/>
      <c r="AX96" s="102"/>
      <c r="AY96" s="102"/>
      <c r="AZ96" s="102"/>
      <c r="BA96" s="102"/>
      <c r="BB96" s="72"/>
      <c r="BC96" s="94"/>
      <c r="BD96" s="72">
        <v>0</v>
      </c>
      <c r="BE96" s="72"/>
      <c r="BF96" s="72"/>
      <c r="BG96" s="72"/>
      <c r="BH96" s="72"/>
      <c r="BI96" s="72"/>
      <c r="BJ96" s="65"/>
      <c r="BK96" s="72">
        <v>0</v>
      </c>
    </row>
    <row r="97" spans="1:66" ht="14.25" hidden="1" thickTop="1" thickBot="1">
      <c r="A97" s="172"/>
      <c r="B97" s="166"/>
      <c r="C97" s="172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72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72"/>
      <c r="AD97" s="166"/>
      <c r="AE97" s="166"/>
      <c r="AF97" s="166"/>
      <c r="AG97" s="166"/>
      <c r="AH97" s="166"/>
      <c r="AI97" s="166"/>
      <c r="AJ97" s="166"/>
      <c r="AK97" s="166"/>
      <c r="AL97" s="166"/>
      <c r="AM97" s="166"/>
      <c r="AN97" s="166"/>
      <c r="AO97" s="166"/>
      <c r="AP97" s="136"/>
      <c r="AQ97" s="166"/>
      <c r="AR97" s="166"/>
      <c r="AS97" s="166"/>
      <c r="AT97" s="166"/>
      <c r="AU97" s="166"/>
      <c r="AV97" s="166"/>
      <c r="AW97" s="166"/>
      <c r="AX97" s="166"/>
      <c r="AY97" s="166"/>
      <c r="AZ97" s="166"/>
      <c r="BA97" s="166"/>
      <c r="BB97" s="166"/>
      <c r="BC97" s="136"/>
      <c r="BD97" s="166"/>
      <c r="BE97" s="166"/>
      <c r="BF97" s="166"/>
      <c r="BG97" s="166"/>
      <c r="BH97" s="166"/>
      <c r="BI97" s="166"/>
      <c r="BJ97" s="136"/>
      <c r="BK97" s="166"/>
    </row>
    <row r="98" spans="1:66" ht="14.25" thickTop="1" thickBot="1">
      <c r="A98" s="140" t="s">
        <v>217</v>
      </c>
      <c r="B98" s="101">
        <f t="shared" ref="B98:D98" si="203">+B99+B103</f>
        <v>4356900</v>
      </c>
      <c r="C98" s="315"/>
      <c r="D98" s="101">
        <f t="shared" si="203"/>
        <v>3776000</v>
      </c>
      <c r="E98" s="101">
        <f t="shared" ref="E98:F98" si="204">+E99+E103</f>
        <v>3856900</v>
      </c>
      <c r="F98" s="101">
        <f t="shared" si="204"/>
        <v>3856900</v>
      </c>
      <c r="G98" s="101">
        <f t="shared" ref="G98:H98" si="205">+G99+G103</f>
        <v>3808700</v>
      </c>
      <c r="H98" s="101">
        <f t="shared" si="205"/>
        <v>3838500</v>
      </c>
      <c r="I98" s="101">
        <f t="shared" ref="I98:O98" si="206">+I99+I103</f>
        <v>3856900</v>
      </c>
      <c r="J98" s="101">
        <f t="shared" si="206"/>
        <v>3769500</v>
      </c>
      <c r="K98" s="101">
        <f t="shared" si="206"/>
        <v>3669800</v>
      </c>
      <c r="L98" s="101">
        <f t="shared" si="206"/>
        <v>3856900</v>
      </c>
      <c r="M98" s="101">
        <f t="shared" si="206"/>
        <v>3446400</v>
      </c>
      <c r="N98" s="101">
        <f t="shared" si="206"/>
        <v>3015600</v>
      </c>
      <c r="O98" s="101">
        <f t="shared" si="206"/>
        <v>698600</v>
      </c>
      <c r="P98" s="315"/>
      <c r="Q98" s="101">
        <f>+Q99+Q103</f>
        <v>637600</v>
      </c>
      <c r="R98" s="101">
        <f t="shared" ref="R98:AB98" si="207">+R99+R103</f>
        <v>637600</v>
      </c>
      <c r="S98" s="101">
        <f t="shared" si="207"/>
        <v>1636800</v>
      </c>
      <c r="T98" s="101">
        <f t="shared" si="207"/>
        <v>1912800</v>
      </c>
      <c r="U98" s="101">
        <f t="shared" si="207"/>
        <v>1912800</v>
      </c>
      <c r="V98" s="101">
        <f t="shared" si="207"/>
        <v>1923700</v>
      </c>
      <c r="W98" s="101">
        <f t="shared" si="207"/>
        <v>2242500</v>
      </c>
      <c r="X98" s="101">
        <f t="shared" si="207"/>
        <v>3188000</v>
      </c>
      <c r="Y98" s="101">
        <f t="shared" si="207"/>
        <v>1912800</v>
      </c>
      <c r="Z98" s="101">
        <f t="shared" si="207"/>
        <v>2550400</v>
      </c>
      <c r="AA98" s="101">
        <f t="shared" si="207"/>
        <v>2231600</v>
      </c>
      <c r="AB98" s="101">
        <f t="shared" si="207"/>
        <v>956400</v>
      </c>
      <c r="AC98" s="315"/>
      <c r="AD98" s="101">
        <f t="shared" ref="AD98" si="208">+AD99+AD103</f>
        <v>897900</v>
      </c>
      <c r="AE98" s="101">
        <f t="shared" ref="AE98" si="209">+AE99+AE103</f>
        <v>897900</v>
      </c>
      <c r="AF98" s="101">
        <f t="shared" ref="AF98" si="210">+AF99+AF103</f>
        <v>1719000</v>
      </c>
      <c r="AG98" s="101">
        <f t="shared" ref="AG98" si="211">+AG99+AG103</f>
        <v>809400</v>
      </c>
      <c r="AH98" s="101">
        <f t="shared" ref="AH98" si="212">+AH99+AH103</f>
        <v>875700</v>
      </c>
      <c r="AI98" s="101">
        <f t="shared" ref="AI98" si="213">+AI99+AI103</f>
        <v>569000</v>
      </c>
      <c r="AJ98" s="101">
        <f t="shared" ref="AJ98" si="214">+AJ99+AJ103</f>
        <v>720794</v>
      </c>
      <c r="AK98" s="101">
        <f t="shared" ref="AK98" si="215">+AK99+AK103</f>
        <v>569000</v>
      </c>
      <c r="AL98" s="101">
        <f t="shared" ref="AL98" si="216">+AL99+AL103</f>
        <v>569000</v>
      </c>
      <c r="AM98" s="101">
        <f t="shared" ref="AM98" si="217">+AM99+AM103</f>
        <v>1438554</v>
      </c>
      <c r="AN98" s="101">
        <f t="shared" ref="AN98" si="218">+AN99+AN103</f>
        <v>569000</v>
      </c>
      <c r="AO98" s="101">
        <f t="shared" ref="AO98" si="219">+AO99+AO103</f>
        <v>569000</v>
      </c>
      <c r="AP98" s="95"/>
      <c r="AQ98" s="101">
        <f t="shared" ref="AQ98" si="220">+AQ99+AQ103</f>
        <v>780400</v>
      </c>
      <c r="AR98" s="101">
        <f t="shared" ref="AR98" si="221">+AR99+AR103</f>
        <v>1492900</v>
      </c>
      <c r="AS98" s="101">
        <f t="shared" ref="AS98" si="222">+AS99+AS103</f>
        <v>1098944</v>
      </c>
      <c r="AT98" s="101">
        <f t="shared" ref="AT98" si="223">+AT99+AT103</f>
        <v>391956</v>
      </c>
      <c r="AU98" s="101">
        <f t="shared" ref="AU98" si="224">+AU99+AU103</f>
        <v>363278</v>
      </c>
      <c r="AV98" s="101">
        <f t="shared" ref="AV98" si="225">+AV99+AV103</f>
        <v>513452</v>
      </c>
      <c r="AW98" s="101">
        <f t="shared" ref="AW98" si="226">+AW99+AW103</f>
        <v>374078</v>
      </c>
      <c r="AX98" s="101">
        <f t="shared" ref="AX98" si="227">+AX99+AX103</f>
        <v>374078</v>
      </c>
      <c r="AY98" s="101">
        <f t="shared" ref="AY98" si="228">+AY99+AY103</f>
        <v>374078</v>
      </c>
      <c r="AZ98" s="101">
        <f t="shared" ref="AZ98" si="229">+AZ99+AZ103</f>
        <v>374078</v>
      </c>
      <c r="BA98" s="101">
        <f t="shared" ref="BA98:BB98" si="230">+BA99+BA103</f>
        <v>321978</v>
      </c>
      <c r="BB98" s="101">
        <f t="shared" si="230"/>
        <v>116522</v>
      </c>
      <c r="BC98" s="95"/>
      <c r="BD98" s="101">
        <f t="shared" ref="BD98" si="231">+BD99+BD103</f>
        <v>446000</v>
      </c>
      <c r="BE98" s="101">
        <f t="shared" ref="BE98" si="232">+BE99+BE103</f>
        <v>0</v>
      </c>
      <c r="BF98" s="101">
        <f t="shared" ref="BF98" si="233">+BF99+BF103</f>
        <v>0</v>
      </c>
      <c r="BG98" s="101">
        <f t="shared" ref="BG98" si="234">+BG99+BG103</f>
        <v>0</v>
      </c>
      <c r="BH98" s="101">
        <f t="shared" ref="BH98" si="235">+BH99+BH103</f>
        <v>0</v>
      </c>
      <c r="BI98" s="75">
        <f t="shared" ref="BI98" si="236">+BI99+BI103</f>
        <v>0</v>
      </c>
      <c r="BJ98" s="87"/>
      <c r="BK98" s="75">
        <f t="shared" ref="BK98" si="237">+BK99+BK103</f>
        <v>0</v>
      </c>
      <c r="BM98" s="492"/>
    </row>
    <row r="99" spans="1:66" ht="14.25" thickTop="1" thickBot="1">
      <c r="A99" s="70" t="s">
        <v>218</v>
      </c>
      <c r="B99" s="312">
        <f t="shared" ref="B99:D99" si="238">SUM(B100:B102)</f>
        <v>1515100</v>
      </c>
      <c r="C99" s="70"/>
      <c r="D99" s="312">
        <f t="shared" si="238"/>
        <v>1313600</v>
      </c>
      <c r="E99" s="312">
        <f t="shared" ref="E99:F99" si="239">SUM(E100:E102)</f>
        <v>1341300</v>
      </c>
      <c r="F99" s="312">
        <f t="shared" si="239"/>
        <v>1341300</v>
      </c>
      <c r="G99" s="312">
        <f t="shared" ref="G99:H99" si="240">SUM(G100:G102)</f>
        <v>1293100</v>
      </c>
      <c r="H99" s="312">
        <f t="shared" si="240"/>
        <v>1322900</v>
      </c>
      <c r="I99" s="312">
        <f t="shared" ref="I99:O99" si="241">SUM(I100:I102)</f>
        <v>1341300</v>
      </c>
      <c r="J99" s="312">
        <f t="shared" si="241"/>
        <v>1310900</v>
      </c>
      <c r="K99" s="312">
        <f t="shared" si="241"/>
        <v>1276300</v>
      </c>
      <c r="L99" s="312">
        <f t="shared" si="241"/>
        <v>1341300</v>
      </c>
      <c r="M99" s="312">
        <f t="shared" si="241"/>
        <v>1198800</v>
      </c>
      <c r="N99" s="312">
        <f t="shared" si="241"/>
        <v>1049000</v>
      </c>
      <c r="O99" s="312">
        <f t="shared" si="241"/>
        <v>243000</v>
      </c>
      <c r="P99" s="70"/>
      <c r="Q99" s="312">
        <f>SUM(Q100:Q102)</f>
        <v>221600</v>
      </c>
      <c r="R99" s="312">
        <f t="shared" ref="R99:AB99" si="242">SUM(R100:R102)</f>
        <v>221600</v>
      </c>
      <c r="S99" s="312">
        <f t="shared" si="242"/>
        <v>569000</v>
      </c>
      <c r="T99" s="312">
        <f t="shared" si="242"/>
        <v>664800</v>
      </c>
      <c r="U99" s="312">
        <f t="shared" si="242"/>
        <v>664800</v>
      </c>
      <c r="V99" s="312">
        <f t="shared" si="242"/>
        <v>668700</v>
      </c>
      <c r="W99" s="312">
        <f t="shared" si="242"/>
        <v>779500</v>
      </c>
      <c r="X99" s="312">
        <f t="shared" si="242"/>
        <v>1108000</v>
      </c>
      <c r="Y99" s="312">
        <f t="shared" si="242"/>
        <v>664800</v>
      </c>
      <c r="Z99" s="312">
        <f t="shared" si="242"/>
        <v>886400</v>
      </c>
      <c r="AA99" s="312">
        <f t="shared" si="242"/>
        <v>775600</v>
      </c>
      <c r="AB99" s="312">
        <f t="shared" si="242"/>
        <v>332400</v>
      </c>
      <c r="AC99" s="70"/>
      <c r="AD99" s="312">
        <f>SUM(AD100:AD102)</f>
        <v>341100</v>
      </c>
      <c r="AE99" s="312">
        <f t="shared" ref="AE99" si="243">SUM(AE100:AE102)</f>
        <v>341100</v>
      </c>
      <c r="AF99" s="312">
        <f t="shared" ref="AF99" si="244">SUM(AF100:AF102)</f>
        <v>641500</v>
      </c>
      <c r="AG99" s="312">
        <f t="shared" ref="AG99" si="245">SUM(AG100:AG102)</f>
        <v>295900</v>
      </c>
      <c r="AH99" s="312">
        <f t="shared" ref="AH99" si="246">SUM(AH100:AH102)</f>
        <v>318900</v>
      </c>
      <c r="AI99" s="312">
        <f t="shared" ref="AI99" si="247">SUM(AI100:AI102)</f>
        <v>197800</v>
      </c>
      <c r="AJ99" s="312">
        <f t="shared" ref="AJ99" si="248">SUM(AJ100:AJ102)</f>
        <v>250647</v>
      </c>
      <c r="AK99" s="312">
        <f t="shared" ref="AK99" si="249">SUM(AK100:AK102)</f>
        <v>197800</v>
      </c>
      <c r="AL99" s="312">
        <f t="shared" ref="AL99" si="250">SUM(AL100:AL102)</f>
        <v>197800</v>
      </c>
      <c r="AM99" s="312">
        <f t="shared" ref="AM99" si="251">SUM(AM100:AM102)</f>
        <v>541167</v>
      </c>
      <c r="AN99" s="312">
        <f t="shared" ref="AN99" si="252">SUM(AN100:AN102)</f>
        <v>197800</v>
      </c>
      <c r="AO99" s="312">
        <f t="shared" ref="AO99" si="253">SUM(AO100:AO102)</f>
        <v>197800</v>
      </c>
      <c r="AP99" s="65"/>
      <c r="AQ99" s="312">
        <f>SUM(AQ100:AQ102)</f>
        <v>273600</v>
      </c>
      <c r="AR99" s="312">
        <f t="shared" ref="AR99" si="254">SUM(AR100:AR102)</f>
        <v>531700</v>
      </c>
      <c r="AS99" s="312">
        <f t="shared" ref="AS99" si="255">SUM(AS100:AS102)</f>
        <v>416969</v>
      </c>
      <c r="AT99" s="312">
        <f t="shared" ref="AT99" si="256">SUM(AT100:AT102)</f>
        <v>113931</v>
      </c>
      <c r="AU99" s="312">
        <f t="shared" ref="AU99" si="257">SUM(AU100:AU102)</f>
        <v>113931</v>
      </c>
      <c r="AV99" s="312">
        <f t="shared" ref="AV99" si="258">SUM(AV100:AV102)</f>
        <v>264105</v>
      </c>
      <c r="AW99" s="312">
        <f t="shared" ref="AW99" si="259">SUM(AW100:AW102)</f>
        <v>119331</v>
      </c>
      <c r="AX99" s="312">
        <f t="shared" ref="AX99" si="260">SUM(AX100:AX102)</f>
        <v>119331</v>
      </c>
      <c r="AY99" s="312">
        <f t="shared" ref="AY99" si="261">SUM(AY100:AY102)</f>
        <v>119331</v>
      </c>
      <c r="AZ99" s="312">
        <f t="shared" ref="AZ99" si="262">SUM(AZ100:AZ102)</f>
        <v>119331</v>
      </c>
      <c r="BA99" s="312">
        <f t="shared" ref="BA99" si="263">SUM(BA100:BA102)</f>
        <v>100931</v>
      </c>
      <c r="BB99" s="312">
        <f t="shared" ref="BB99" si="264">SUM(BB100:BB102)</f>
        <v>51269</v>
      </c>
      <c r="BC99" s="65"/>
      <c r="BD99" s="312">
        <f t="shared" ref="BD99" si="265">SUM(BD100:BD102)</f>
        <v>155200</v>
      </c>
      <c r="BE99" s="312">
        <f t="shared" ref="BE99" si="266">SUM(BE100:BE102)</f>
        <v>0</v>
      </c>
      <c r="BF99" s="312">
        <f t="shared" ref="BF99" si="267">SUM(BF100:BF102)</f>
        <v>0</v>
      </c>
      <c r="BG99" s="312">
        <f t="shared" ref="BG99" si="268">SUM(BG100:BG102)</f>
        <v>0</v>
      </c>
      <c r="BH99" s="312">
        <f t="shared" ref="BH99" si="269">SUM(BH100:BH102)</f>
        <v>0</v>
      </c>
      <c r="BI99" s="312">
        <f t="shared" ref="BI99" si="270">SUM(BI100:BI102)</f>
        <v>0</v>
      </c>
      <c r="BJ99" s="65"/>
      <c r="BK99" s="312">
        <f t="shared" ref="BK99" si="271">SUM(BK100:BK102)</f>
        <v>0</v>
      </c>
    </row>
    <row r="100" spans="1:66" ht="13.5" thickTop="1">
      <c r="A100" s="64" t="s">
        <v>219</v>
      </c>
      <c r="B100" s="144">
        <v>710900</v>
      </c>
      <c r="C100" s="64"/>
      <c r="D100" s="144">
        <v>616400</v>
      </c>
      <c r="E100" s="144">
        <v>629400</v>
      </c>
      <c r="F100" s="144">
        <v>629400</v>
      </c>
      <c r="G100" s="144">
        <v>629500</v>
      </c>
      <c r="H100" s="144">
        <v>629400</v>
      </c>
      <c r="I100" s="144">
        <v>629400</v>
      </c>
      <c r="J100" s="144">
        <v>615100</v>
      </c>
      <c r="K100" s="144">
        <v>598900</v>
      </c>
      <c r="L100" s="144">
        <v>629400</v>
      </c>
      <c r="M100" s="144">
        <v>562400</v>
      </c>
      <c r="N100" s="144">
        <v>492100</v>
      </c>
      <c r="O100" s="144">
        <v>114000</v>
      </c>
      <c r="P100" s="64"/>
      <c r="Q100" s="144">
        <f>143000-39000</f>
        <v>104000</v>
      </c>
      <c r="R100" s="144">
        <f>143000-39000</f>
        <v>104000</v>
      </c>
      <c r="S100" s="144">
        <f>306000-39000</f>
        <v>267000</v>
      </c>
      <c r="T100" s="144">
        <f>351000-39000</f>
        <v>312000</v>
      </c>
      <c r="U100" s="144">
        <f>351000-39000</f>
        <v>312000</v>
      </c>
      <c r="V100" s="144">
        <f>352800-39000</f>
        <v>313800</v>
      </c>
      <c r="W100" s="144">
        <f>404800-39000</f>
        <v>365800</v>
      </c>
      <c r="X100" s="144">
        <f>559000-39000</f>
        <v>520000</v>
      </c>
      <c r="Y100" s="337">
        <f>351000-39000</f>
        <v>312000</v>
      </c>
      <c r="Z100" s="144">
        <v>416000</v>
      </c>
      <c r="AA100" s="144">
        <v>364000</v>
      </c>
      <c r="AB100" s="144">
        <v>156000</v>
      </c>
      <c r="AC100" s="64"/>
      <c r="AD100" s="144">
        <v>139200</v>
      </c>
      <c r="AE100" s="144">
        <v>139200</v>
      </c>
      <c r="AF100" s="144">
        <v>269400</v>
      </c>
      <c r="AG100" s="144">
        <v>128400</v>
      </c>
      <c r="AH100" s="144">
        <v>139200</v>
      </c>
      <c r="AI100" s="144">
        <v>92800</v>
      </c>
      <c r="AJ100" s="144">
        <v>117547</v>
      </c>
      <c r="AK100" s="144">
        <v>92800</v>
      </c>
      <c r="AL100" s="144">
        <v>92800</v>
      </c>
      <c r="AM100" s="144">
        <v>224267</v>
      </c>
      <c r="AN100" s="144">
        <v>92800</v>
      </c>
      <c r="AO100" s="144">
        <v>92800</v>
      </c>
      <c r="AP100" s="94"/>
      <c r="AQ100" s="144">
        <v>126800</v>
      </c>
      <c r="AR100" s="144">
        <v>240400</v>
      </c>
      <c r="AS100" s="144">
        <v>208469</v>
      </c>
      <c r="AT100" s="144">
        <v>31531</v>
      </c>
      <c r="AU100" s="144">
        <v>31531</v>
      </c>
      <c r="AV100" s="144">
        <v>181705</v>
      </c>
      <c r="AW100" s="144">
        <v>36931</v>
      </c>
      <c r="AX100" s="144">
        <v>36931</v>
      </c>
      <c r="AY100" s="144">
        <v>36931</v>
      </c>
      <c r="AZ100" s="144">
        <v>36931</v>
      </c>
      <c r="BA100" s="144">
        <v>28331</v>
      </c>
      <c r="BB100" s="144">
        <v>43069</v>
      </c>
      <c r="BC100" s="94"/>
      <c r="BD100" s="144">
        <v>72800</v>
      </c>
      <c r="BE100" s="144"/>
      <c r="BF100" s="144"/>
      <c r="BG100" s="144"/>
      <c r="BH100" s="144"/>
      <c r="BI100" s="144"/>
      <c r="BJ100" s="65"/>
      <c r="BK100" s="144">
        <v>0</v>
      </c>
    </row>
    <row r="101" spans="1:66">
      <c r="A101" s="64" t="s">
        <v>220</v>
      </c>
      <c r="B101" s="144">
        <v>93300</v>
      </c>
      <c r="C101" s="64"/>
      <c r="D101" s="144">
        <v>80800</v>
      </c>
      <c r="E101" s="144">
        <v>82500</v>
      </c>
      <c r="F101" s="144">
        <v>82500</v>
      </c>
      <c r="G101" s="144">
        <v>76900</v>
      </c>
      <c r="H101" s="144">
        <v>80400</v>
      </c>
      <c r="I101" s="144">
        <v>82500</v>
      </c>
      <c r="J101" s="144">
        <v>80700</v>
      </c>
      <c r="K101" s="144">
        <v>78500</v>
      </c>
      <c r="L101" s="144">
        <v>82500</v>
      </c>
      <c r="M101" s="144">
        <v>74000</v>
      </c>
      <c r="N101" s="144">
        <v>64800</v>
      </c>
      <c r="O101" s="144">
        <v>15000</v>
      </c>
      <c r="P101" s="64"/>
      <c r="Q101" s="144">
        <v>13600</v>
      </c>
      <c r="R101" s="144">
        <v>13600</v>
      </c>
      <c r="S101" s="144">
        <v>35000</v>
      </c>
      <c r="T101" s="144">
        <v>40800</v>
      </c>
      <c r="U101" s="144">
        <v>40800</v>
      </c>
      <c r="V101" s="144">
        <v>41100</v>
      </c>
      <c r="W101" s="144">
        <v>47900</v>
      </c>
      <c r="X101" s="144">
        <v>68000</v>
      </c>
      <c r="Y101" s="144">
        <v>40800</v>
      </c>
      <c r="Z101" s="144">
        <v>54400</v>
      </c>
      <c r="AA101" s="144">
        <v>47600</v>
      </c>
      <c r="AB101" s="144">
        <v>20400</v>
      </c>
      <c r="AC101" s="64"/>
      <c r="AD101" s="144">
        <v>62700</v>
      </c>
      <c r="AE101" s="144">
        <v>62700</v>
      </c>
      <c r="AF101" s="144">
        <v>102700</v>
      </c>
      <c r="AG101" s="144">
        <v>39100</v>
      </c>
      <c r="AH101" s="144">
        <v>40500</v>
      </c>
      <c r="AI101" s="144">
        <v>12200</v>
      </c>
      <c r="AJ101" s="144">
        <v>15500</v>
      </c>
      <c r="AK101" s="144">
        <v>12200</v>
      </c>
      <c r="AL101" s="144">
        <v>12200</v>
      </c>
      <c r="AM101" s="144">
        <v>92500</v>
      </c>
      <c r="AN101" s="144">
        <v>12200</v>
      </c>
      <c r="AO101" s="144">
        <v>12200</v>
      </c>
      <c r="AP101" s="94"/>
      <c r="AQ101" s="144">
        <v>20000</v>
      </c>
      <c r="AR101" s="144">
        <v>51000</v>
      </c>
      <c r="AS101" s="144">
        <v>41300</v>
      </c>
      <c r="AT101" s="144">
        <v>9600</v>
      </c>
      <c r="AU101" s="144">
        <v>9600</v>
      </c>
      <c r="AV101" s="144">
        <v>9600</v>
      </c>
      <c r="AW101" s="144">
        <v>9600</v>
      </c>
      <c r="AX101" s="144">
        <v>9600</v>
      </c>
      <c r="AY101" s="144">
        <v>9600</v>
      </c>
      <c r="AZ101" s="144">
        <v>9600</v>
      </c>
      <c r="BA101" s="144">
        <v>8300</v>
      </c>
      <c r="BB101" s="144">
        <v>1000</v>
      </c>
      <c r="BC101" s="94"/>
      <c r="BD101" s="144">
        <v>9600</v>
      </c>
      <c r="BE101" s="144"/>
      <c r="BF101" s="144"/>
      <c r="BG101" s="144"/>
      <c r="BH101" s="144"/>
      <c r="BI101" s="144"/>
      <c r="BJ101" s="65"/>
      <c r="BK101" s="144">
        <v>0</v>
      </c>
    </row>
    <row r="102" spans="1:66" ht="13.5" thickBot="1">
      <c r="A102" s="64" t="s">
        <v>221</v>
      </c>
      <c r="B102" s="144">
        <v>710900</v>
      </c>
      <c r="C102" s="64"/>
      <c r="D102" s="144">
        <v>616400</v>
      </c>
      <c r="E102" s="144">
        <v>629400</v>
      </c>
      <c r="F102" s="144">
        <v>629400</v>
      </c>
      <c r="G102" s="144">
        <v>586700</v>
      </c>
      <c r="H102" s="144">
        <v>613100</v>
      </c>
      <c r="I102" s="144">
        <v>629400</v>
      </c>
      <c r="J102" s="144">
        <v>615100</v>
      </c>
      <c r="K102" s="144">
        <v>598900</v>
      </c>
      <c r="L102" s="144">
        <v>629400</v>
      </c>
      <c r="M102" s="144">
        <v>562400</v>
      </c>
      <c r="N102" s="144">
        <v>492100</v>
      </c>
      <c r="O102" s="144">
        <v>114000</v>
      </c>
      <c r="P102" s="64"/>
      <c r="Q102" s="144">
        <v>104000</v>
      </c>
      <c r="R102" s="144">
        <v>104000</v>
      </c>
      <c r="S102" s="144">
        <v>267000</v>
      </c>
      <c r="T102" s="144">
        <v>312000</v>
      </c>
      <c r="U102" s="144">
        <v>312000</v>
      </c>
      <c r="V102" s="144">
        <v>313800</v>
      </c>
      <c r="W102" s="144">
        <v>365800</v>
      </c>
      <c r="X102" s="144">
        <v>520000</v>
      </c>
      <c r="Y102" s="144">
        <v>312000</v>
      </c>
      <c r="Z102" s="144">
        <v>416000</v>
      </c>
      <c r="AA102" s="144">
        <v>364000</v>
      </c>
      <c r="AB102" s="144">
        <v>156000</v>
      </c>
      <c r="AC102" s="64"/>
      <c r="AD102" s="144">
        <v>139200</v>
      </c>
      <c r="AE102" s="144">
        <v>139200</v>
      </c>
      <c r="AF102" s="144">
        <v>269400</v>
      </c>
      <c r="AG102" s="144">
        <v>128400</v>
      </c>
      <c r="AH102" s="144">
        <v>139200</v>
      </c>
      <c r="AI102" s="144">
        <v>92800</v>
      </c>
      <c r="AJ102" s="144">
        <v>117600</v>
      </c>
      <c r="AK102" s="144">
        <v>92800</v>
      </c>
      <c r="AL102" s="144">
        <v>92800</v>
      </c>
      <c r="AM102" s="144">
        <v>224400</v>
      </c>
      <c r="AN102" s="144">
        <v>92800</v>
      </c>
      <c r="AO102" s="144">
        <v>92800</v>
      </c>
      <c r="AP102" s="94"/>
      <c r="AQ102" s="144">
        <v>126800</v>
      </c>
      <c r="AR102" s="144">
        <v>240300</v>
      </c>
      <c r="AS102" s="144">
        <v>167200</v>
      </c>
      <c r="AT102" s="144">
        <v>72800</v>
      </c>
      <c r="AU102" s="144">
        <v>72800</v>
      </c>
      <c r="AV102" s="144">
        <v>72800</v>
      </c>
      <c r="AW102" s="144">
        <v>72800</v>
      </c>
      <c r="AX102" s="144">
        <v>72800</v>
      </c>
      <c r="AY102" s="144">
        <v>72800</v>
      </c>
      <c r="AZ102" s="144">
        <v>72800</v>
      </c>
      <c r="BA102" s="144">
        <v>64300</v>
      </c>
      <c r="BB102" s="144">
        <v>7200</v>
      </c>
      <c r="BC102" s="94"/>
      <c r="BD102" s="144">
        <v>72800</v>
      </c>
      <c r="BE102" s="144"/>
      <c r="BF102" s="144"/>
      <c r="BG102" s="144"/>
      <c r="BH102" s="144"/>
      <c r="BI102" s="144"/>
      <c r="BJ102" s="65"/>
      <c r="BK102" s="144">
        <v>0</v>
      </c>
    </row>
    <row r="103" spans="1:66" ht="14.25" thickTop="1" thickBot="1">
      <c r="A103" s="70" t="s">
        <v>222</v>
      </c>
      <c r="B103" s="312">
        <f t="shared" ref="B103:D103" si="272">SUM(B104:B105)</f>
        <v>2841800</v>
      </c>
      <c r="C103" s="70"/>
      <c r="D103" s="312">
        <f t="shared" si="272"/>
        <v>2462400</v>
      </c>
      <c r="E103" s="312">
        <f t="shared" ref="E103:F103" si="273">SUM(E104:E105)</f>
        <v>2515600</v>
      </c>
      <c r="F103" s="312">
        <f t="shared" si="273"/>
        <v>2515600</v>
      </c>
      <c r="G103" s="312">
        <f t="shared" ref="G103:H103" si="274">SUM(G104:G105)</f>
        <v>2515600</v>
      </c>
      <c r="H103" s="312">
        <f t="shared" si="274"/>
        <v>2515600</v>
      </c>
      <c r="I103" s="312">
        <f t="shared" ref="I103:O103" si="275">SUM(I104:I105)</f>
        <v>2515600</v>
      </c>
      <c r="J103" s="312">
        <f t="shared" si="275"/>
        <v>2458600</v>
      </c>
      <c r="K103" s="312">
        <f t="shared" si="275"/>
        <v>2393500</v>
      </c>
      <c r="L103" s="312">
        <f t="shared" si="275"/>
        <v>2515600</v>
      </c>
      <c r="M103" s="312">
        <f t="shared" si="275"/>
        <v>2247600</v>
      </c>
      <c r="N103" s="312">
        <f t="shared" si="275"/>
        <v>1966600</v>
      </c>
      <c r="O103" s="312">
        <f t="shared" si="275"/>
        <v>455600</v>
      </c>
      <c r="P103" s="70"/>
      <c r="Q103" s="312">
        <f>SUM(Q104:Q105)</f>
        <v>416000</v>
      </c>
      <c r="R103" s="312">
        <f t="shared" ref="R103:AB103" si="276">SUM(R104:R105)</f>
        <v>416000</v>
      </c>
      <c r="S103" s="312">
        <f t="shared" si="276"/>
        <v>1067800</v>
      </c>
      <c r="T103" s="312">
        <f t="shared" si="276"/>
        <v>1248000</v>
      </c>
      <c r="U103" s="312">
        <f t="shared" si="276"/>
        <v>1248000</v>
      </c>
      <c r="V103" s="312">
        <f t="shared" si="276"/>
        <v>1255000</v>
      </c>
      <c r="W103" s="312">
        <f t="shared" si="276"/>
        <v>1463000</v>
      </c>
      <c r="X103" s="312">
        <f t="shared" si="276"/>
        <v>2080000</v>
      </c>
      <c r="Y103" s="312">
        <f t="shared" si="276"/>
        <v>1248000</v>
      </c>
      <c r="Z103" s="312">
        <f t="shared" si="276"/>
        <v>1664000</v>
      </c>
      <c r="AA103" s="312">
        <f t="shared" si="276"/>
        <v>1456000</v>
      </c>
      <c r="AB103" s="312">
        <f t="shared" si="276"/>
        <v>624000</v>
      </c>
      <c r="AC103" s="70"/>
      <c r="AD103" s="312">
        <f t="shared" ref="AD103" si="277">SUM(AD104:AD105)</f>
        <v>556800</v>
      </c>
      <c r="AE103" s="312">
        <f t="shared" ref="AE103" si="278">SUM(AE104:AE105)</f>
        <v>556800</v>
      </c>
      <c r="AF103" s="312">
        <f t="shared" ref="AF103" si="279">SUM(AF104:AF105)</f>
        <v>1077500</v>
      </c>
      <c r="AG103" s="312">
        <f t="shared" ref="AG103" si="280">SUM(AG104:AG105)</f>
        <v>513500</v>
      </c>
      <c r="AH103" s="312">
        <f t="shared" ref="AH103" si="281">SUM(AH104:AH105)</f>
        <v>556800</v>
      </c>
      <c r="AI103" s="312">
        <f t="shared" ref="AI103" si="282">SUM(AI104:AI105)</f>
        <v>371200</v>
      </c>
      <c r="AJ103" s="312">
        <f t="shared" ref="AJ103" si="283">SUM(AJ104:AJ105)</f>
        <v>470147</v>
      </c>
      <c r="AK103" s="312">
        <f t="shared" ref="AK103" si="284">SUM(AK104:AK105)</f>
        <v>371200</v>
      </c>
      <c r="AL103" s="312">
        <f t="shared" ref="AL103" si="285">SUM(AL104:AL105)</f>
        <v>371200</v>
      </c>
      <c r="AM103" s="312">
        <f t="shared" ref="AM103" si="286">SUM(AM104:AM105)</f>
        <v>897387</v>
      </c>
      <c r="AN103" s="312">
        <f t="shared" ref="AN103" si="287">SUM(AN104:AN105)</f>
        <v>371200</v>
      </c>
      <c r="AO103" s="312">
        <f t="shared" ref="AO103" si="288">SUM(AO104:AO105)</f>
        <v>371200</v>
      </c>
      <c r="AP103" s="65"/>
      <c r="AQ103" s="312">
        <f t="shared" ref="AQ103" si="289">SUM(AQ104:AQ105)</f>
        <v>506800</v>
      </c>
      <c r="AR103" s="312">
        <f t="shared" ref="AR103" si="290">SUM(AR104:AR105)</f>
        <v>961200</v>
      </c>
      <c r="AS103" s="312">
        <f t="shared" ref="AS103" si="291">SUM(AS104:AS105)</f>
        <v>681975</v>
      </c>
      <c r="AT103" s="312">
        <f t="shared" ref="AT103" si="292">SUM(AT104:AT105)</f>
        <v>278025</v>
      </c>
      <c r="AU103" s="312">
        <f t="shared" ref="AU103" si="293">SUM(AU104:AU105)</f>
        <v>249347</v>
      </c>
      <c r="AV103" s="312">
        <f t="shared" ref="AV103" si="294">SUM(AV104:AV105)</f>
        <v>249347</v>
      </c>
      <c r="AW103" s="312">
        <f t="shared" ref="AW103" si="295">SUM(AW104:AW105)</f>
        <v>254747</v>
      </c>
      <c r="AX103" s="312">
        <f t="shared" ref="AX103" si="296">SUM(AX104:AX105)</f>
        <v>254747</v>
      </c>
      <c r="AY103" s="312">
        <f t="shared" ref="AY103" si="297">SUM(AY104:AY105)</f>
        <v>254747</v>
      </c>
      <c r="AZ103" s="312">
        <f t="shared" ref="AZ103" si="298">SUM(AZ104:AZ105)</f>
        <v>254747</v>
      </c>
      <c r="BA103" s="312">
        <f t="shared" ref="BA103" si="299">SUM(BA104:BA105)</f>
        <v>221047</v>
      </c>
      <c r="BB103" s="312">
        <f t="shared" ref="BB103" si="300">SUM(BB104:BB105)</f>
        <v>65253</v>
      </c>
      <c r="BC103" s="65"/>
      <c r="BD103" s="312">
        <f t="shared" ref="BD103" si="301">SUM(BD104:BD105)</f>
        <v>290800</v>
      </c>
      <c r="BE103" s="312">
        <f t="shared" ref="BE103" si="302">SUM(BE104:BE105)</f>
        <v>0</v>
      </c>
      <c r="BF103" s="312">
        <f t="shared" ref="BF103" si="303">SUM(BF104:BF105)</f>
        <v>0</v>
      </c>
      <c r="BG103" s="312">
        <f t="shared" ref="BG103" si="304">SUM(BG104:BG105)</f>
        <v>0</v>
      </c>
      <c r="BH103" s="312">
        <f t="shared" ref="BH103" si="305">SUM(BH104:BH105)</f>
        <v>0</v>
      </c>
      <c r="BI103" s="312">
        <f t="shared" ref="BI103" si="306">SUM(BI104:BI105)</f>
        <v>0</v>
      </c>
      <c r="BJ103" s="65"/>
      <c r="BK103" s="312">
        <f t="shared" ref="BK103" si="307">SUM(BK104:BK105)</f>
        <v>0</v>
      </c>
    </row>
    <row r="104" spans="1:66" ht="14.25" thickTop="1" thickBot="1">
      <c r="A104" s="64" t="s">
        <v>223</v>
      </c>
      <c r="B104" s="144">
        <v>2841800</v>
      </c>
      <c r="C104" s="64"/>
      <c r="D104" s="144">
        <v>2462400</v>
      </c>
      <c r="E104" s="144">
        <v>2515600</v>
      </c>
      <c r="F104" s="144">
        <v>2515600</v>
      </c>
      <c r="G104" s="144">
        <v>2515600</v>
      </c>
      <c r="H104" s="144">
        <v>2515600</v>
      </c>
      <c r="I104" s="144">
        <v>2515600</v>
      </c>
      <c r="J104" s="144">
        <v>2458600</v>
      </c>
      <c r="K104" s="144">
        <f>2312500+81000</f>
        <v>2393500</v>
      </c>
      <c r="L104" s="144">
        <v>2515600</v>
      </c>
      <c r="M104" s="144">
        <v>2247600</v>
      </c>
      <c r="N104" s="144">
        <v>1966600</v>
      </c>
      <c r="O104" s="144">
        <v>455600</v>
      </c>
      <c r="P104" s="64"/>
      <c r="Q104" s="144">
        <f>455000-39000</f>
        <v>416000</v>
      </c>
      <c r="R104" s="144">
        <f>455000-39000</f>
        <v>416000</v>
      </c>
      <c r="S104" s="144">
        <f>1106800-39000</f>
        <v>1067800</v>
      </c>
      <c r="T104" s="144">
        <f>1287000-39000</f>
        <v>1248000</v>
      </c>
      <c r="U104" s="144">
        <f>1287000-39000</f>
        <v>1248000</v>
      </c>
      <c r="V104" s="144">
        <f>1294000-39000</f>
        <v>1255000</v>
      </c>
      <c r="W104" s="144">
        <f>1502000-39000</f>
        <v>1463000</v>
      </c>
      <c r="X104" s="144">
        <f>2119000-39000</f>
        <v>2080000</v>
      </c>
      <c r="Y104" s="144">
        <f>1287000-39000</f>
        <v>1248000</v>
      </c>
      <c r="Z104" s="144">
        <v>1664000</v>
      </c>
      <c r="AA104" s="144">
        <v>1456000</v>
      </c>
      <c r="AB104" s="144">
        <v>624000</v>
      </c>
      <c r="AC104" s="64"/>
      <c r="AD104" s="144">
        <v>556800</v>
      </c>
      <c r="AE104" s="144">
        <v>556800</v>
      </c>
      <c r="AF104" s="144">
        <v>1077500</v>
      </c>
      <c r="AG104" s="144">
        <v>513500</v>
      </c>
      <c r="AH104" s="144">
        <v>556800</v>
      </c>
      <c r="AI104" s="144">
        <v>371200</v>
      </c>
      <c r="AJ104" s="144">
        <v>470147</v>
      </c>
      <c r="AK104" s="144">
        <v>371200</v>
      </c>
      <c r="AL104" s="144">
        <v>371200</v>
      </c>
      <c r="AM104" s="144">
        <v>897387</v>
      </c>
      <c r="AN104" s="144">
        <v>371200</v>
      </c>
      <c r="AO104" s="144">
        <v>371200</v>
      </c>
      <c r="AP104" s="94"/>
      <c r="AQ104" s="72">
        <v>506800</v>
      </c>
      <c r="AR104" s="144">
        <v>961200</v>
      </c>
      <c r="AS104" s="144">
        <v>681975</v>
      </c>
      <c r="AT104" s="144">
        <v>278025</v>
      </c>
      <c r="AU104" s="144">
        <v>249347</v>
      </c>
      <c r="AV104" s="144">
        <v>249347</v>
      </c>
      <c r="AW104" s="144">
        <v>254747</v>
      </c>
      <c r="AX104" s="144">
        <v>254747</v>
      </c>
      <c r="AY104" s="144">
        <v>254747</v>
      </c>
      <c r="AZ104" s="144">
        <v>254747</v>
      </c>
      <c r="BA104" s="144">
        <v>221047</v>
      </c>
      <c r="BB104" s="144">
        <v>65253</v>
      </c>
      <c r="BC104" s="94"/>
      <c r="BD104" s="144">
        <v>290800</v>
      </c>
      <c r="BE104" s="144"/>
      <c r="BF104" s="144"/>
      <c r="BG104" s="144"/>
      <c r="BH104" s="144"/>
      <c r="BI104" s="144"/>
      <c r="BJ104" s="94"/>
      <c r="BK104" s="144">
        <v>0</v>
      </c>
    </row>
    <row r="105" spans="1:66" ht="14.25" hidden="1" thickTop="1" thickBot="1">
      <c r="A105" s="64" t="s">
        <v>224</v>
      </c>
      <c r="B105" s="173"/>
      <c r="C105" s="64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64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64"/>
      <c r="AD105" s="173"/>
      <c r="AE105" s="173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94"/>
      <c r="AQ105" s="324"/>
      <c r="AR105" s="173"/>
      <c r="AS105" s="173"/>
      <c r="AT105" s="173"/>
      <c r="AU105" s="173"/>
      <c r="AV105" s="173"/>
      <c r="AW105" s="173"/>
      <c r="AX105" s="173"/>
      <c r="AY105" s="173"/>
      <c r="AZ105" s="173"/>
      <c r="BA105" s="173"/>
      <c r="BB105" s="173"/>
      <c r="BC105" s="94"/>
      <c r="BD105" s="173"/>
      <c r="BE105" s="173"/>
      <c r="BF105" s="173"/>
      <c r="BG105" s="173"/>
      <c r="BH105" s="173"/>
      <c r="BI105" s="173"/>
      <c r="BJ105" s="65"/>
      <c r="BK105" s="173"/>
    </row>
    <row r="106" spans="1:66" ht="14.25" thickTop="1" thickBot="1">
      <c r="A106" s="73"/>
      <c r="B106" s="141"/>
      <c r="C106" s="73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73"/>
      <c r="Q106" s="141"/>
      <c r="R106" s="136"/>
      <c r="S106" s="136"/>
      <c r="AC106" s="73"/>
      <c r="AD106" s="499"/>
    </row>
    <row r="107" spans="1:66" ht="14.25" thickTop="1" thickBot="1">
      <c r="A107" s="140" t="s">
        <v>225</v>
      </c>
      <c r="B107" s="101">
        <f t="shared" ref="B107:D107" si="308">+B108+B112</f>
        <v>38753448.898499995</v>
      </c>
      <c r="C107" s="140"/>
      <c r="D107" s="101">
        <f t="shared" si="308"/>
        <v>40687061.898499995</v>
      </c>
      <c r="E107" s="101">
        <f t="shared" ref="E107:F107" si="309">+E108+E112</f>
        <v>36865925.648499995</v>
      </c>
      <c r="F107" s="101">
        <f t="shared" si="309"/>
        <v>32224889.298500001</v>
      </c>
      <c r="G107" s="101">
        <f t="shared" ref="G107:H107" si="310">+G108+G112</f>
        <v>27343774.148499999</v>
      </c>
      <c r="H107" s="101">
        <f t="shared" si="310"/>
        <v>20796788.1985</v>
      </c>
      <c r="I107" s="101">
        <f t="shared" ref="I107:O107" si="311">+I108+I112</f>
        <v>21537466.714000002</v>
      </c>
      <c r="J107" s="101">
        <f t="shared" si="311"/>
        <v>23015077.364</v>
      </c>
      <c r="K107" s="101">
        <f t="shared" si="311"/>
        <v>24848146.813999999</v>
      </c>
      <c r="L107" s="101">
        <f t="shared" si="311"/>
        <v>35437230.976999998</v>
      </c>
      <c r="M107" s="101">
        <f t="shared" si="311"/>
        <v>38646013.577</v>
      </c>
      <c r="N107" s="101">
        <f t="shared" si="311"/>
        <v>39300310.055500001</v>
      </c>
      <c r="O107" s="101">
        <f t="shared" si="311"/>
        <v>30697551.155500002</v>
      </c>
      <c r="P107" s="140"/>
      <c r="Q107" s="101">
        <f>+Q108+Q112</f>
        <v>32974360.943</v>
      </c>
      <c r="R107" s="101">
        <f t="shared" ref="R107:AD107" si="312">+R108+R112</f>
        <v>32800048.843000002</v>
      </c>
      <c r="S107" s="101">
        <f t="shared" si="312"/>
        <v>30758161.642999999</v>
      </c>
      <c r="T107" s="101">
        <f t="shared" si="312"/>
        <v>31769127.943</v>
      </c>
      <c r="U107" s="101">
        <f t="shared" si="312"/>
        <v>31003444.943</v>
      </c>
      <c r="V107" s="101">
        <f>+V108+V112</f>
        <v>29069622.443</v>
      </c>
      <c r="W107" s="101">
        <f t="shared" si="312"/>
        <v>26373927.699000001</v>
      </c>
      <c r="X107" s="101">
        <f t="shared" si="312"/>
        <v>27514426.949000001</v>
      </c>
      <c r="Y107" s="101">
        <f t="shared" si="312"/>
        <v>28406958.854000002</v>
      </c>
      <c r="Z107" s="101">
        <f t="shared" si="312"/>
        <v>27843085.153999999</v>
      </c>
      <c r="AA107" s="101">
        <f t="shared" si="312"/>
        <v>25265582.554000001</v>
      </c>
      <c r="AB107" s="101">
        <f t="shared" si="312"/>
        <v>24251628.454000004</v>
      </c>
      <c r="AC107" s="140"/>
      <c r="AD107" s="101">
        <f t="shared" si="312"/>
        <v>19565237.614</v>
      </c>
      <c r="AE107" s="101">
        <f t="shared" ref="AE107" si="313">+AE108+AE112</f>
        <v>14531905.029999999</v>
      </c>
      <c r="AF107" s="101">
        <f t="shared" ref="AF107" si="314">+AF108+AF112</f>
        <v>13621989.52</v>
      </c>
      <c r="AG107" s="101">
        <f t="shared" ref="AG107" si="315">+AG108+AG112</f>
        <v>11593682.969999999</v>
      </c>
      <c r="AH107" s="101">
        <f t="shared" ref="AH107" si="316">+AH108+AH112</f>
        <v>10977522.75</v>
      </c>
      <c r="AI107" s="101">
        <f t="shared" ref="AI107" si="317">+AI108+AI112</f>
        <v>10012081.560000001</v>
      </c>
      <c r="AJ107" s="101">
        <f t="shared" ref="AJ107" si="318">+AJ108+AJ112</f>
        <v>9171171.6699999999</v>
      </c>
      <c r="AK107" s="101">
        <f t="shared" ref="AK107" si="319">+AK108+AK112</f>
        <v>8670615.1099999994</v>
      </c>
      <c r="AL107" s="101">
        <f t="shared" ref="AL107" si="320">+AL108+AL112</f>
        <v>680315.04999999981</v>
      </c>
      <c r="AM107" s="101">
        <f t="shared" ref="AM107" si="321">+AM108+AM112</f>
        <v>93907.989999999991</v>
      </c>
      <c r="AN107" s="101">
        <f t="shared" ref="AN107" si="322">+AN108+AN112</f>
        <v>226849</v>
      </c>
      <c r="AO107" s="101">
        <f t="shared" ref="AO107" si="323">+AO108+AO112</f>
        <v>268308</v>
      </c>
      <c r="AP107" s="95"/>
      <c r="AQ107" s="75">
        <f t="shared" ref="AQ107" si="324">+AQ108+AQ112</f>
        <v>4036561</v>
      </c>
      <c r="AR107" s="101">
        <f t="shared" ref="AR107" si="325">+AR108+AR112</f>
        <v>3427601</v>
      </c>
      <c r="AS107" s="101">
        <f t="shared" ref="AS107" si="326">+AS108+AS112</f>
        <v>3427601</v>
      </c>
      <c r="AT107" s="101">
        <f t="shared" ref="AT107" si="327">+AT108+AT112</f>
        <v>2823278.42</v>
      </c>
      <c r="AU107" s="101">
        <f t="shared" ref="AU107" si="328">+AU108+AU112</f>
        <v>1827340.06</v>
      </c>
      <c r="AV107" s="101">
        <f t="shared" ref="AV107" si="329">+AV108+AV112</f>
        <v>-25516.32</v>
      </c>
      <c r="AW107" s="101">
        <f t="shared" ref="AW107" si="330">+AW108+AW112</f>
        <v>27081.760000000009</v>
      </c>
      <c r="AX107" s="101">
        <f t="shared" ref="AX107" si="331">+AX108+AX112</f>
        <v>93272.21</v>
      </c>
      <c r="AY107" s="101">
        <f t="shared" ref="AY107" si="332">+AY108+AY112</f>
        <v>62409.239999999991</v>
      </c>
      <c r="AZ107" s="101">
        <f t="shared" ref="AZ107" si="333">+AZ108+AZ112</f>
        <v>-190440.31000000006</v>
      </c>
      <c r="BA107" s="101">
        <f t="shared" ref="BA107" si="334">+BA108+BA112</f>
        <v>-503988.5</v>
      </c>
      <c r="BB107" s="101">
        <f t="shared" ref="BB107" si="335">+BB108+BB112</f>
        <v>-648977.02</v>
      </c>
      <c r="BC107" s="95"/>
      <c r="BD107" s="101">
        <f t="shared" ref="BD107" si="336">+BD108+BD112</f>
        <v>294499.82999999996</v>
      </c>
      <c r="BE107" s="101">
        <f t="shared" ref="BE107" si="337">+BE108+BE112</f>
        <v>0</v>
      </c>
      <c r="BF107" s="101">
        <f t="shared" ref="BF107" si="338">+BF108+BF112</f>
        <v>0</v>
      </c>
      <c r="BG107" s="101">
        <f t="shared" ref="BG107" si="339">+BG108+BG112</f>
        <v>0</v>
      </c>
      <c r="BH107" s="101">
        <f t="shared" ref="BH107" si="340">+BH108+BH112</f>
        <v>0</v>
      </c>
      <c r="BI107" s="101">
        <f t="shared" ref="BI107" si="341">+BI108+BI112</f>
        <v>0</v>
      </c>
      <c r="BJ107" s="95"/>
      <c r="BK107" s="75">
        <f t="shared" ref="BK107" si="342">+BK108+BK112</f>
        <v>0</v>
      </c>
    </row>
    <row r="108" spans="1:66" s="318" customFormat="1" ht="14.25" thickTop="1" thickBot="1">
      <c r="A108" s="316" t="s">
        <v>440</v>
      </c>
      <c r="B108" s="317">
        <f t="shared" ref="B108:D108" si="343">SUM(B109:B111)</f>
        <v>19634527.868499998</v>
      </c>
      <c r="D108" s="317">
        <f t="shared" si="343"/>
        <v>19132105.868499998</v>
      </c>
      <c r="E108" s="317">
        <f t="shared" ref="E108:F108" si="344">SUM(E109:E111)</f>
        <v>15367459.618499998</v>
      </c>
      <c r="F108" s="317">
        <f t="shared" si="344"/>
        <v>10822576.268499998</v>
      </c>
      <c r="G108" s="317">
        <f t="shared" ref="G108:H108" si="345">SUM(G109:G111)</f>
        <v>5485311.1184999989</v>
      </c>
      <c r="H108" s="317">
        <f t="shared" si="345"/>
        <v>-679432.83150000009</v>
      </c>
      <c r="I108" s="317">
        <f t="shared" ref="I108:O108" si="346">SUM(I109:I111)</f>
        <v>-1847525.3160000006</v>
      </c>
      <c r="J108" s="317">
        <f t="shared" si="346"/>
        <v>-2606328.6660000007</v>
      </c>
      <c r="K108" s="317">
        <f t="shared" si="346"/>
        <v>-3107536.2160000005</v>
      </c>
      <c r="L108" s="317">
        <f t="shared" si="346"/>
        <v>1854940.9469999992</v>
      </c>
      <c r="M108" s="317">
        <f t="shared" si="346"/>
        <v>2465827.5469999993</v>
      </c>
      <c r="N108" s="317">
        <f t="shared" si="346"/>
        <v>967671.02549999976</v>
      </c>
      <c r="O108" s="317">
        <f t="shared" si="346"/>
        <v>2310061.1254999996</v>
      </c>
      <c r="Q108" s="317">
        <f>SUM(Q109:Q111)</f>
        <v>4552159.9129999997</v>
      </c>
      <c r="R108" s="317">
        <f t="shared" ref="R108:AA108" si="347">SUM(R109:R111)</f>
        <v>3718708.8130000001</v>
      </c>
      <c r="S108" s="317">
        <f t="shared" si="347"/>
        <v>2885310.6129999999</v>
      </c>
      <c r="T108" s="317">
        <f t="shared" si="347"/>
        <v>2019237.9129999997</v>
      </c>
      <c r="U108" s="317">
        <f t="shared" si="347"/>
        <v>2349896.9129999997</v>
      </c>
      <c r="V108" s="317">
        <f t="shared" si="347"/>
        <v>1706713.4129999997</v>
      </c>
      <c r="W108" s="317">
        <f t="shared" si="347"/>
        <v>604166.66899999988</v>
      </c>
      <c r="X108" s="317">
        <f t="shared" si="347"/>
        <v>2054783.9189999998</v>
      </c>
      <c r="Y108" s="317">
        <f t="shared" si="347"/>
        <v>4589883.824000001</v>
      </c>
      <c r="Z108" s="317">
        <f t="shared" si="347"/>
        <v>5149515.1239999998</v>
      </c>
      <c r="AA108" s="317">
        <f t="shared" si="347"/>
        <v>4433511.5240000002</v>
      </c>
      <c r="AB108" s="317">
        <f>SUM(AB109:AB111)</f>
        <v>4652596.4240000006</v>
      </c>
      <c r="AD108" s="317">
        <f t="shared" ref="AD108:AO108" si="348">SUM(AD109:AD111)</f>
        <v>4578237.5240000002</v>
      </c>
      <c r="AE108" s="317">
        <f t="shared" si="348"/>
        <v>1154600</v>
      </c>
      <c r="AF108" s="317">
        <f t="shared" si="348"/>
        <v>1104592</v>
      </c>
      <c r="AG108" s="317">
        <f t="shared" si="348"/>
        <v>980389.75</v>
      </c>
      <c r="AH108" s="317">
        <f t="shared" si="348"/>
        <v>944639.75</v>
      </c>
      <c r="AI108" s="317">
        <f t="shared" si="348"/>
        <v>863463</v>
      </c>
      <c r="AJ108" s="317">
        <f t="shared" si="348"/>
        <v>769704.67</v>
      </c>
      <c r="AK108" s="317">
        <f t="shared" si="348"/>
        <v>1138101.1099999999</v>
      </c>
      <c r="AL108" s="317">
        <f t="shared" si="348"/>
        <v>444565.75</v>
      </c>
      <c r="AM108" s="317">
        <f t="shared" si="348"/>
        <v>295443.99</v>
      </c>
      <c r="AN108" s="317">
        <f t="shared" si="348"/>
        <v>208430</v>
      </c>
      <c r="AO108" s="317">
        <f t="shared" si="348"/>
        <v>169033</v>
      </c>
      <c r="AP108" s="319"/>
      <c r="AQ108" s="317">
        <f t="shared" ref="AQ108" si="349">SUM(AQ109:AQ111)</f>
        <v>254793</v>
      </c>
      <c r="AR108" s="317">
        <f t="shared" ref="AR108" si="350">SUM(AR109:AR111)</f>
        <v>196482</v>
      </c>
      <c r="AS108" s="317">
        <f t="shared" ref="AS108" si="351">SUM(AS109:AS111)</f>
        <v>196482</v>
      </c>
      <c r="AT108" s="317">
        <f t="shared" ref="AT108" si="352">SUM(AT109:AT111)</f>
        <v>149347</v>
      </c>
      <c r="AU108" s="317">
        <f t="shared" ref="AU108" si="353">SUM(AU109:AU111)</f>
        <v>135192</v>
      </c>
      <c r="AV108" s="317">
        <f t="shared" ref="AV108" si="354">SUM(AV109:AV111)</f>
        <v>28227.68</v>
      </c>
      <c r="AW108" s="317">
        <f t="shared" ref="AW108" si="355">SUM(AW109:AW111)</f>
        <v>11280</v>
      </c>
      <c r="AX108" s="317">
        <f t="shared" ref="AX108" si="356">SUM(AX109:AX111)</f>
        <v>5640</v>
      </c>
      <c r="AY108" s="317">
        <f t="shared" ref="AY108" si="357">SUM(AY109:AY111)</f>
        <v>71479</v>
      </c>
      <c r="AZ108" s="317">
        <f t="shared" ref="AZ108" si="358">SUM(AZ109:AZ111)</f>
        <v>53801</v>
      </c>
      <c r="BA108" s="317">
        <f t="shared" ref="BA108" si="359">SUM(BA109:BA111)</f>
        <v>27280</v>
      </c>
      <c r="BB108" s="317">
        <f t="shared" ref="BB108" si="360">SUM(BB109:BB111)</f>
        <v>13640</v>
      </c>
      <c r="BC108" s="319"/>
      <c r="BD108" s="317">
        <f t="shared" ref="BD108" si="361">SUM(BD109:BD111)</f>
        <v>248499.83</v>
      </c>
      <c r="BE108" s="317">
        <f t="shared" ref="BE108" si="362">SUM(BE109:BE111)</f>
        <v>0</v>
      </c>
      <c r="BF108" s="317">
        <f t="shared" ref="BF108" si="363">SUM(BF109:BF111)</f>
        <v>0</v>
      </c>
      <c r="BG108" s="317">
        <f t="shared" ref="BG108" si="364">SUM(BG109:BG111)</f>
        <v>0</v>
      </c>
      <c r="BH108" s="317">
        <f t="shared" ref="BH108" si="365">SUM(BH109:BH111)</f>
        <v>0</v>
      </c>
      <c r="BI108" s="317">
        <f t="shared" ref="BI108" si="366">SUM(BI109:BI111)</f>
        <v>0</v>
      </c>
      <c r="BJ108" s="320"/>
      <c r="BK108" s="317">
        <f t="shared" ref="BK108" si="367">SUM(BK109:BK111)</f>
        <v>0</v>
      </c>
    </row>
    <row r="109" spans="1:66" ht="13.5" thickTop="1">
      <c r="A109" s="64" t="s">
        <v>226</v>
      </c>
      <c r="B109" s="115">
        <f>1870333+495256</f>
        <v>2365589</v>
      </c>
      <c r="D109" s="115">
        <v>1870333</v>
      </c>
      <c r="E109" s="115">
        <f>952747+462203</f>
        <v>1414950</v>
      </c>
      <c r="F109" s="115">
        <v>952747</v>
      </c>
      <c r="G109" s="115">
        <f>+H109+472543</f>
        <v>813746</v>
      </c>
      <c r="H109" s="115">
        <v>341203</v>
      </c>
      <c r="I109" s="115">
        <v>637746</v>
      </c>
      <c r="J109" s="115">
        <v>316783</v>
      </c>
      <c r="K109" s="115">
        <v>292755</v>
      </c>
      <c r="L109" s="115">
        <v>302016</v>
      </c>
      <c r="M109" s="115">
        <v>629496</v>
      </c>
      <c r="N109" s="115">
        <v>304463</v>
      </c>
      <c r="O109" s="115">
        <v>16610</v>
      </c>
      <c r="Q109" s="115">
        <f>+R109+76010-80405</f>
        <v>76030</v>
      </c>
      <c r="R109" s="115">
        <f>+S109+80405-152000</f>
        <v>80425</v>
      </c>
      <c r="S109" s="115">
        <f>+T109+76010</f>
        <v>152020</v>
      </c>
      <c r="T109" s="115">
        <v>76010</v>
      </c>
      <c r="U109" s="115">
        <f>+V109+87010</f>
        <v>373270</v>
      </c>
      <c r="V109" s="115">
        <f>+W109+101970</f>
        <v>286260</v>
      </c>
      <c r="W109" s="115">
        <f>+X109+77220-1034369</f>
        <v>184290</v>
      </c>
      <c r="X109" s="115">
        <f>+Y109+107140</f>
        <v>1141439</v>
      </c>
      <c r="Y109" s="115">
        <f>+Z109+83160</f>
        <v>1034299</v>
      </c>
      <c r="Z109" s="115">
        <f>+AA109+113080</f>
        <v>951139</v>
      </c>
      <c r="AA109" s="115">
        <f>+AB109+83160</f>
        <v>838059</v>
      </c>
      <c r="AB109" s="115">
        <v>754899</v>
      </c>
      <c r="AD109" s="174">
        <v>1009369</v>
      </c>
      <c r="AE109" s="174">
        <v>811405</v>
      </c>
      <c r="AF109" s="174">
        <v>794010</v>
      </c>
      <c r="AG109" s="174">
        <v>699930</v>
      </c>
      <c r="AH109" s="174">
        <v>664180</v>
      </c>
      <c r="AI109" s="174">
        <v>609180</v>
      </c>
      <c r="AJ109" s="174">
        <v>539220</v>
      </c>
      <c r="AK109" s="174">
        <v>461340</v>
      </c>
      <c r="AL109" s="174">
        <v>121574</v>
      </c>
      <c r="AM109" s="174">
        <v>52321</v>
      </c>
      <c r="AN109" s="174">
        <v>40161</v>
      </c>
      <c r="AO109" s="174">
        <v>23521</v>
      </c>
      <c r="AP109" s="177"/>
      <c r="AQ109" s="181">
        <v>248589</v>
      </c>
      <c r="AR109" s="174">
        <v>179707</v>
      </c>
      <c r="AS109" s="174">
        <v>179707</v>
      </c>
      <c r="AT109" s="174">
        <v>149347</v>
      </c>
      <c r="AU109" s="174">
        <v>92766</v>
      </c>
      <c r="AV109" s="174">
        <v>0</v>
      </c>
      <c r="AW109" s="174">
        <v>0</v>
      </c>
      <c r="AX109" s="174">
        <v>0</v>
      </c>
      <c r="AY109" s="174">
        <v>48919</v>
      </c>
      <c r="AZ109" s="174">
        <v>36881</v>
      </c>
      <c r="BA109" s="174">
        <v>16000</v>
      </c>
      <c r="BB109" s="179">
        <v>8000</v>
      </c>
      <c r="BC109" s="177"/>
      <c r="BD109" s="180">
        <v>112000</v>
      </c>
      <c r="BE109" s="181"/>
      <c r="BF109" s="181"/>
      <c r="BG109" s="181"/>
      <c r="BH109" s="181"/>
      <c r="BI109" s="157"/>
      <c r="BJ109" s="65"/>
      <c r="BK109" s="157">
        <v>0</v>
      </c>
      <c r="BN109" s="492"/>
    </row>
    <row r="110" spans="1:66">
      <c r="A110" s="64" t="s">
        <v>228</v>
      </c>
      <c r="B110" s="144">
        <f>+D110+7166</f>
        <v>77137</v>
      </c>
      <c r="D110" s="144">
        <f>59186+10785</f>
        <v>69971</v>
      </c>
      <c r="E110" s="144">
        <f>39144+10785</f>
        <v>49929</v>
      </c>
      <c r="F110" s="144">
        <f>9422+10785</f>
        <v>20207</v>
      </c>
      <c r="G110" s="144">
        <f>10936+10785</f>
        <v>21721</v>
      </c>
      <c r="H110" s="144">
        <v>10936</v>
      </c>
      <c r="I110" s="144">
        <v>33813</v>
      </c>
      <c r="J110" s="144">
        <v>17548</v>
      </c>
      <c r="K110" s="144">
        <v>17598</v>
      </c>
      <c r="L110" s="144">
        <v>16408</v>
      </c>
      <c r="M110" s="144">
        <v>66317</v>
      </c>
      <c r="N110" s="144">
        <v>49503</v>
      </c>
      <c r="O110" s="144">
        <v>30929</v>
      </c>
      <c r="Q110" s="144">
        <f>+R110+28433-28433-28800+23130</f>
        <v>51811</v>
      </c>
      <c r="R110" s="144">
        <f>+S110-57840+28800-55000+28433</f>
        <v>57481</v>
      </c>
      <c r="S110" s="144">
        <f>+T110+53711</f>
        <v>113088</v>
      </c>
      <c r="T110" s="144">
        <f>26815+32562</f>
        <v>59377</v>
      </c>
      <c r="U110" s="144">
        <f>+V110+61536</f>
        <v>245608.75</v>
      </c>
      <c r="V110" s="144">
        <f>+W110+56085</f>
        <v>184072.75</v>
      </c>
      <c r="W110" s="144">
        <f>+X110+61870-334000</f>
        <v>127987.75</v>
      </c>
      <c r="X110" s="144">
        <f>+Y110+65832</f>
        <v>400117.75</v>
      </c>
      <c r="Y110" s="144">
        <f>+Z110+61163</f>
        <v>334285.75</v>
      </c>
      <c r="Z110" s="144">
        <f>+AA110+63582</f>
        <v>273122.75</v>
      </c>
      <c r="AA110" s="144">
        <f>+AB110+59478</f>
        <v>209540.75</v>
      </c>
      <c r="AB110" s="144">
        <v>150062.75</v>
      </c>
      <c r="AD110" s="151">
        <v>430230</v>
      </c>
      <c r="AE110" s="151">
        <v>343195</v>
      </c>
      <c r="AF110" s="151">
        <v>310582</v>
      </c>
      <c r="AG110" s="151">
        <v>280459.75</v>
      </c>
      <c r="AH110" s="151">
        <v>280459.75</v>
      </c>
      <c r="AI110" s="151">
        <v>254283</v>
      </c>
      <c r="AJ110" s="151">
        <v>230484.67</v>
      </c>
      <c r="AK110" s="151">
        <v>676761.11</v>
      </c>
      <c r="AL110" s="151">
        <v>322991.75</v>
      </c>
      <c r="AM110" s="151">
        <v>243122.99</v>
      </c>
      <c r="AN110" s="151">
        <v>168269</v>
      </c>
      <c r="AO110" s="151">
        <v>145512</v>
      </c>
      <c r="AP110" s="94"/>
      <c r="AQ110" s="157">
        <v>6204</v>
      </c>
      <c r="AR110" s="151">
        <v>16775</v>
      </c>
      <c r="AS110" s="151">
        <v>16775</v>
      </c>
      <c r="AT110" s="151">
        <v>0</v>
      </c>
      <c r="AU110" s="151">
        <v>42426</v>
      </c>
      <c r="AV110" s="151">
        <v>28227.68</v>
      </c>
      <c r="AW110" s="151">
        <v>11280</v>
      </c>
      <c r="AX110" s="151">
        <v>5640</v>
      </c>
      <c r="AY110" s="151">
        <v>22560</v>
      </c>
      <c r="AZ110" s="151">
        <v>16920</v>
      </c>
      <c r="BA110" s="151">
        <v>11280</v>
      </c>
      <c r="BB110" s="157">
        <v>5640</v>
      </c>
      <c r="BC110" s="94"/>
      <c r="BD110" s="178">
        <v>136499.82999999999</v>
      </c>
      <c r="BE110" s="157"/>
      <c r="BF110" s="157"/>
      <c r="BG110" s="157"/>
      <c r="BH110" s="157"/>
      <c r="BI110" s="157"/>
      <c r="BJ110" s="65"/>
      <c r="BK110" s="157">
        <v>0</v>
      </c>
      <c r="BN110" s="492"/>
    </row>
    <row r="111" spans="1:66" ht="13.5" thickBot="1">
      <c r="A111" s="64" t="s">
        <v>227</v>
      </c>
      <c r="B111" s="173">
        <f>+D111</f>
        <v>17191801.868499998</v>
      </c>
      <c r="D111" s="173">
        <f>+E111+'NOTAS ERI'!Q177</f>
        <v>17191801.868499998</v>
      </c>
      <c r="E111" s="173">
        <f>+F111+'NOTAS ERI'!R177</f>
        <v>13902580.618499998</v>
      </c>
      <c r="F111" s="173">
        <f>+G111+'NOTAS ERI'!S177</f>
        <v>9849622.2684999984</v>
      </c>
      <c r="G111" s="173">
        <f>+H111+'NOTAS ERI'!T177</f>
        <v>4649844.1184999989</v>
      </c>
      <c r="H111" s="173">
        <f>+I111+'NOTAS ERI'!U177</f>
        <v>-1031571.8315000001</v>
      </c>
      <c r="I111" s="173">
        <f>+J111+'NOTAS ERI'!V177</f>
        <v>-2519084.3160000006</v>
      </c>
      <c r="J111" s="173">
        <f>+K111+'NOTAS ERI'!W177</f>
        <v>-2940659.6660000007</v>
      </c>
      <c r="K111" s="173">
        <f>+L111+'NOTAS ERI'!X177-Q111</f>
        <v>-3417889.2160000005</v>
      </c>
      <c r="L111" s="173">
        <f>+M111+'NOTAS ERI'!Y177</f>
        <v>1536516.9469999992</v>
      </c>
      <c r="M111" s="173">
        <f>+N111+'NOTAS ERI'!Z177</f>
        <v>1770014.5469999991</v>
      </c>
      <c r="N111" s="173">
        <f>+O111+'NOTAS ERI'!AA177</f>
        <v>613705.02549999976</v>
      </c>
      <c r="O111" s="173">
        <f>+Q111+'NOTAS ERI'!AB177</f>
        <v>2262522.1254999996</v>
      </c>
      <c r="Q111" s="173">
        <f>+R111+'NOTAS ERI'!AE177</f>
        <v>4424318.9129999997</v>
      </c>
      <c r="R111" s="173">
        <f>+S111+'NOTAS ERI'!AF177</f>
        <v>3580802.8130000001</v>
      </c>
      <c r="S111" s="173">
        <f>+T111+'NOTAS ERI'!AG177</f>
        <v>2620202.6129999999</v>
      </c>
      <c r="T111" s="173">
        <f>+U111+'NOTAS ERI'!AH177</f>
        <v>1883850.9129999997</v>
      </c>
      <c r="U111" s="173">
        <f>+V111+'NOTAS ERI'!AI177</f>
        <v>1731018.1629999997</v>
      </c>
      <c r="V111" s="173">
        <f>+W111+'NOTAS ERI'!AJ177</f>
        <v>1236380.6629999997</v>
      </c>
      <c r="W111" s="173">
        <f>+X111+'NOTAS ERI'!AK177</f>
        <v>291888.91899999988</v>
      </c>
      <c r="X111" s="151">
        <f>+'NOTAS ERI'!AP177+'NOTAS ERI'!AO177+'NOTAS ERI'!AN177+'NOTAS ERI'!AM177+'NOTAS ERI'!AL177</f>
        <v>513227.16899999988</v>
      </c>
      <c r="Y111" s="151">
        <f>3138638.524+'NOTAS ERI'!AP177+'NOTAS ERI'!AO177+'NOTAS ERI'!AN177+'NOTAS ERI'!AM177</f>
        <v>3221299.0740000005</v>
      </c>
      <c r="Z111" s="151">
        <f>3138638.524+'NOTAS ERI'!AP177+'NOTAS ERI'!AO177+'NOTAS ERI'!AN177</f>
        <v>3925253.3740000003</v>
      </c>
      <c r="AA111" s="151">
        <f>3138638.524+'NOTAS ERI'!AP177+'NOTAS ERI'!AO177</f>
        <v>3385911.7740000002</v>
      </c>
      <c r="AB111" s="151">
        <f>3138638.524+'NOTAS ERI'!AP177</f>
        <v>3747634.6740000001</v>
      </c>
      <c r="AD111" s="151">
        <f>+ERI!AU49</f>
        <v>3138638.5240000002</v>
      </c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94"/>
      <c r="AQ111" s="157"/>
      <c r="AR111" s="151"/>
      <c r="AS111" s="151"/>
      <c r="AT111" s="151"/>
      <c r="AU111" s="151"/>
      <c r="AV111" s="151"/>
      <c r="AW111" s="151"/>
      <c r="AX111" s="151"/>
      <c r="AY111" s="151"/>
      <c r="AZ111" s="151"/>
      <c r="BA111" s="151"/>
      <c r="BB111" s="157"/>
      <c r="BC111" s="94"/>
      <c r="BD111" s="178"/>
      <c r="BE111" s="157"/>
      <c r="BF111" s="157"/>
      <c r="BG111" s="157"/>
      <c r="BH111" s="157"/>
      <c r="BI111" s="182"/>
      <c r="BJ111" s="65"/>
      <c r="BK111" s="157"/>
      <c r="BN111" s="492"/>
    </row>
    <row r="112" spans="1:66" s="318" customFormat="1" ht="14.25" thickTop="1" thickBot="1">
      <c r="A112" s="316" t="s">
        <v>439</v>
      </c>
      <c r="B112" s="486">
        <f>SUM(B113:B116)</f>
        <v>19118921.030000001</v>
      </c>
      <c r="D112" s="486">
        <f>SUM(D113:D116)</f>
        <v>21554956.030000001</v>
      </c>
      <c r="E112" s="486">
        <f>SUM(E113:E116)</f>
        <v>21498466.030000001</v>
      </c>
      <c r="F112" s="486">
        <f t="shared" ref="F112" si="368">SUM(F113:F116)</f>
        <v>21402313.030000001</v>
      </c>
      <c r="G112" s="486">
        <f t="shared" ref="G112:H112" si="369">SUM(G113:G116)</f>
        <v>21858463.030000001</v>
      </c>
      <c r="H112" s="486">
        <f t="shared" si="369"/>
        <v>21476221.030000001</v>
      </c>
      <c r="I112" s="486">
        <f t="shared" ref="I112:O112" si="370">SUM(I113:I116)</f>
        <v>23384992.030000001</v>
      </c>
      <c r="J112" s="486">
        <f t="shared" si="370"/>
        <v>25621406.030000001</v>
      </c>
      <c r="K112" s="486">
        <f>SUM(K113:K116)</f>
        <v>27955683.030000001</v>
      </c>
      <c r="L112" s="486">
        <f t="shared" si="370"/>
        <v>33582290.030000001</v>
      </c>
      <c r="M112" s="486">
        <f t="shared" si="370"/>
        <v>36180186.030000001</v>
      </c>
      <c r="N112" s="486">
        <f t="shared" si="370"/>
        <v>38332639.030000001</v>
      </c>
      <c r="O112" s="486">
        <f t="shared" si="370"/>
        <v>28387490.030000001</v>
      </c>
      <c r="Q112" s="486">
        <f>SUM(Q113:Q116)</f>
        <v>28422201.030000001</v>
      </c>
      <c r="R112" s="322">
        <f t="shared" ref="R112:AA112" si="371">SUM(R113:R116)</f>
        <v>29081340.030000001</v>
      </c>
      <c r="S112" s="322">
        <f t="shared" si="371"/>
        <v>27872851.030000001</v>
      </c>
      <c r="T112" s="322">
        <f t="shared" si="371"/>
        <v>29749890.030000001</v>
      </c>
      <c r="U112" s="322">
        <f t="shared" si="371"/>
        <v>28653548.030000001</v>
      </c>
      <c r="V112" s="322">
        <f t="shared" si="371"/>
        <v>27362909.030000001</v>
      </c>
      <c r="W112" s="322">
        <f t="shared" si="371"/>
        <v>25769761.030000001</v>
      </c>
      <c r="X112" s="322">
        <f t="shared" si="371"/>
        <v>25459643.030000001</v>
      </c>
      <c r="Y112" s="322">
        <f t="shared" si="371"/>
        <v>23817075.030000001</v>
      </c>
      <c r="Z112" s="322">
        <f t="shared" si="371"/>
        <v>22693570.030000001</v>
      </c>
      <c r="AA112" s="322">
        <f t="shared" si="371"/>
        <v>20832071.030000001</v>
      </c>
      <c r="AB112" s="322">
        <f>SUM(AB113:AB116)</f>
        <v>19599032.030000001</v>
      </c>
      <c r="AD112" s="322">
        <f>SUM(AD113:AD116)</f>
        <v>14987000.09</v>
      </c>
      <c r="AE112" s="322">
        <f t="shared" ref="AE112" si="372">SUM(AE113:AE116)</f>
        <v>13377305.029999999</v>
      </c>
      <c r="AF112" s="322">
        <f t="shared" ref="AF112" si="373">SUM(AF113:AF116)</f>
        <v>12517397.52</v>
      </c>
      <c r="AG112" s="322">
        <f t="shared" ref="AG112" si="374">SUM(AG113:AG116)</f>
        <v>10613293.219999999</v>
      </c>
      <c r="AH112" s="322">
        <f t="shared" ref="AH112" si="375">SUM(AH113:AH116)</f>
        <v>10032883</v>
      </c>
      <c r="AI112" s="322">
        <f t="shared" ref="AI112" si="376">SUM(AI113:AI116)</f>
        <v>9148618.5600000005</v>
      </c>
      <c r="AJ112" s="322">
        <f t="shared" ref="AJ112" si="377">SUM(AJ113:AJ116)</f>
        <v>8401467</v>
      </c>
      <c r="AK112" s="322">
        <f t="shared" ref="AK112" si="378">SUM(AK113:AK116)</f>
        <v>7532514</v>
      </c>
      <c r="AL112" s="322">
        <f t="shared" ref="AL112" si="379">SUM(AL113:AL116)</f>
        <v>235749.29999999981</v>
      </c>
      <c r="AM112" s="322">
        <f t="shared" ref="AM112" si="380">SUM(AM113:AM116)</f>
        <v>-201536</v>
      </c>
      <c r="AN112" s="322">
        <f t="shared" ref="AN112" si="381">SUM(AN113:AN116)</f>
        <v>18419</v>
      </c>
      <c r="AO112" s="322">
        <f t="shared" ref="AO112" si="382">SUM(AO113:AO116)</f>
        <v>99275</v>
      </c>
      <c r="AP112" s="319"/>
      <c r="AQ112" s="322">
        <f t="shared" ref="AQ112" si="383">SUM(AQ113:AQ116)</f>
        <v>3781768</v>
      </c>
      <c r="AR112" s="322">
        <f t="shared" ref="AR112" si="384">SUM(AR113:AR116)</f>
        <v>3231119</v>
      </c>
      <c r="AS112" s="322">
        <f t="shared" ref="AS112" si="385">SUM(AS113:AS116)</f>
        <v>3231119</v>
      </c>
      <c r="AT112" s="322">
        <f t="shared" ref="AT112" si="386">SUM(AT113:AT116)</f>
        <v>2673931.42</v>
      </c>
      <c r="AU112" s="322">
        <f t="shared" ref="AU112" si="387">SUM(AU113:AU116)</f>
        <v>1692148.06</v>
      </c>
      <c r="AV112" s="322">
        <f t="shared" ref="AV112" si="388">SUM(AV113:AV116)</f>
        <v>-53744</v>
      </c>
      <c r="AW112" s="322">
        <f t="shared" ref="AW112" si="389">SUM(AW113:AW116)</f>
        <v>15801.760000000009</v>
      </c>
      <c r="AX112" s="322">
        <f t="shared" ref="AX112" si="390">SUM(AX113:AX116)</f>
        <v>87632.21</v>
      </c>
      <c r="AY112" s="322">
        <f t="shared" ref="AY112" si="391">SUM(AY113:AY116)</f>
        <v>-9069.7600000000093</v>
      </c>
      <c r="AZ112" s="322">
        <f t="shared" ref="AZ112" si="392">SUM(AZ113:AZ116)</f>
        <v>-244241.31000000006</v>
      </c>
      <c r="BA112" s="322">
        <f t="shared" ref="BA112" si="393">SUM(BA113:BA116)</f>
        <v>-531268.5</v>
      </c>
      <c r="BB112" s="322">
        <f t="shared" ref="BB112" si="394">SUM(BB113:BB116)</f>
        <v>-662617.02</v>
      </c>
      <c r="BC112" s="319"/>
      <c r="BD112" s="322">
        <f t="shared" ref="BD112" si="395">SUM(BD113:BD116)</f>
        <v>46000</v>
      </c>
      <c r="BE112" s="322">
        <f t="shared" ref="BE112" si="396">SUM(BE113:BE116)</f>
        <v>0</v>
      </c>
      <c r="BF112" s="322">
        <f t="shared" ref="BF112" si="397">SUM(BF113:BF116)</f>
        <v>0</v>
      </c>
      <c r="BG112" s="322">
        <f t="shared" ref="BG112" si="398">SUM(BG113:BG116)</f>
        <v>0</v>
      </c>
      <c r="BH112" s="322">
        <f t="shared" ref="BH112" si="399">SUM(BH113:BH116)</f>
        <v>0</v>
      </c>
      <c r="BI112" s="322">
        <f t="shared" ref="BI112" si="400">SUM(BI113:BI116)</f>
        <v>0</v>
      </c>
      <c r="BJ112" s="320"/>
      <c r="BK112" s="322">
        <f t="shared" ref="BK112" si="401">SUM(BK113:BK116)</f>
        <v>0</v>
      </c>
      <c r="BN112" s="513"/>
    </row>
    <row r="113" spans="1:66" ht="13.5" thickTop="1">
      <c r="A113" s="64" t="s">
        <v>229</v>
      </c>
      <c r="B113" s="157">
        <v>3860517</v>
      </c>
      <c r="D113" s="157">
        <f>+E113+3660064</f>
        <v>15483172</v>
      </c>
      <c r="E113" s="157">
        <f>+F113+3777864</f>
        <v>11823108</v>
      </c>
      <c r="F113" s="157">
        <f>+G113+4088780-4940756</f>
        <v>8045244</v>
      </c>
      <c r="G113" s="157">
        <f>+H113+3956464</f>
        <v>8897220</v>
      </c>
      <c r="H113" s="157">
        <f>+I113+1687864</f>
        <v>4940756</v>
      </c>
      <c r="I113" s="157">
        <f>648564+1266064+1338264</f>
        <v>3252892</v>
      </c>
      <c r="J113" s="157">
        <f>648564+1266064</f>
        <v>1914628</v>
      </c>
      <c r="K113" s="157">
        <v>648564</v>
      </c>
      <c r="L113" s="157">
        <f>+M113+1010989</f>
        <v>3472817</v>
      </c>
      <c r="M113" s="157">
        <f>+N113+1408564</f>
        <v>2461828</v>
      </c>
      <c r="N113" s="157">
        <f>+O113+766364</f>
        <v>1053264</v>
      </c>
      <c r="O113" s="157">
        <v>286900</v>
      </c>
      <c r="Q113" s="157">
        <f>+R113+1312900</f>
        <v>18165821.370000001</v>
      </c>
      <c r="R113" s="157">
        <f>+S113+1388822</f>
        <v>16852921.370000001</v>
      </c>
      <c r="S113" s="157">
        <f>+T113+1430700-117800</f>
        <v>15464099.370000001</v>
      </c>
      <c r="T113" s="157">
        <f>+U113+1312900</f>
        <v>14151199.370000001</v>
      </c>
      <c r="U113" s="157">
        <f>+V113+1502900</f>
        <v>12838299.370000001</v>
      </c>
      <c r="V113" s="157">
        <f>+W113+1761300</f>
        <v>11335399.370000001</v>
      </c>
      <c r="W113" s="157">
        <f>+X113+1333800</f>
        <v>9574099.370000001</v>
      </c>
      <c r="X113" s="157">
        <f>+Y113+1850600</f>
        <v>8240299.3700000001</v>
      </c>
      <c r="Y113" s="157">
        <f>+Z113+1333800</f>
        <v>6389699.3700000001</v>
      </c>
      <c r="Z113" s="157">
        <f>+AA113+2055800</f>
        <v>5055899.37</v>
      </c>
      <c r="AA113" s="157">
        <f>+AB113+1436400</f>
        <v>3000099.37</v>
      </c>
      <c r="AB113" s="342">
        <v>1563699.37</v>
      </c>
      <c r="AD113" s="151">
        <f>5963000</f>
        <v>5963000</v>
      </c>
      <c r="AE113" s="151">
        <v>4327330.37</v>
      </c>
      <c r="AF113" s="151">
        <v>2851900</v>
      </c>
      <c r="AG113" s="151">
        <v>617500</v>
      </c>
      <c r="AH113" s="151">
        <v>11510200</v>
      </c>
      <c r="AI113" s="151">
        <v>10560200</v>
      </c>
      <c r="AJ113" s="151">
        <v>9351800</v>
      </c>
      <c r="AK113" s="151">
        <v>8006600</v>
      </c>
      <c r="AL113" s="151">
        <v>2289911.92</v>
      </c>
      <c r="AM113" s="151">
        <v>1432631</v>
      </c>
      <c r="AN113" s="151">
        <v>953832</v>
      </c>
      <c r="AO113" s="151">
        <v>558631</v>
      </c>
      <c r="AP113" s="94"/>
      <c r="AQ113" s="157">
        <v>5903979</v>
      </c>
      <c r="AR113" s="151">
        <v>4268047</v>
      </c>
      <c r="AS113" s="151">
        <v>4268047</v>
      </c>
      <c r="AT113" s="151">
        <v>3546997</v>
      </c>
      <c r="AU113" s="151">
        <v>2413189</v>
      </c>
      <c r="AV113" s="151">
        <v>210000</v>
      </c>
      <c r="AW113" s="151">
        <v>210000</v>
      </c>
      <c r="AX113" s="151">
        <v>210000</v>
      </c>
      <c r="AY113" s="151">
        <v>1161834</v>
      </c>
      <c r="AZ113" s="151">
        <v>875922</v>
      </c>
      <c r="BA113" s="151">
        <v>380000</v>
      </c>
      <c r="BB113" s="157">
        <v>190000</v>
      </c>
      <c r="BC113" s="94"/>
      <c r="BD113" s="178">
        <v>754000</v>
      </c>
      <c r="BE113" s="157"/>
      <c r="BF113" s="157"/>
      <c r="BG113" s="157"/>
      <c r="BH113" s="157"/>
      <c r="BI113" s="157"/>
      <c r="BJ113" s="65"/>
      <c r="BK113" s="157">
        <v>0</v>
      </c>
      <c r="BN113" s="492"/>
    </row>
    <row r="114" spans="1:66">
      <c r="A114" s="64" t="s">
        <v>230</v>
      </c>
      <c r="B114" s="144">
        <v>-490552</v>
      </c>
      <c r="C114" s="341"/>
      <c r="D114" s="144">
        <f>+E114-170574</f>
        <v>-785417</v>
      </c>
      <c r="E114" s="144">
        <f>+F114-246711</f>
        <v>-614843</v>
      </c>
      <c r="F114" s="144">
        <f>+G114-226910+622736</f>
        <v>-368132</v>
      </c>
      <c r="G114" s="144">
        <f>+H114-141222</f>
        <v>-763958</v>
      </c>
      <c r="H114" s="144">
        <f>+I114-163635</f>
        <v>-622736</v>
      </c>
      <c r="I114" s="144">
        <f>-150082-167341-141678</f>
        <v>-459101</v>
      </c>
      <c r="J114" s="144">
        <f>-150082-167341</f>
        <v>-317423</v>
      </c>
      <c r="K114" s="144">
        <v>-150082</v>
      </c>
      <c r="L114" s="144">
        <f>+M114-175885</f>
        <v>-780728</v>
      </c>
      <c r="M114" s="144">
        <f>+N114-128017</f>
        <v>-604843</v>
      </c>
      <c r="N114" s="144">
        <f>-321611-155215</f>
        <v>-476826</v>
      </c>
      <c r="O114" s="144">
        <v>-321611</v>
      </c>
      <c r="P114" s="341"/>
      <c r="Q114" s="144">
        <f>+R114-972039</f>
        <v>-3206620.4299999997</v>
      </c>
      <c r="R114" s="144">
        <f>+S114-180333</f>
        <v>-2234581.4299999997</v>
      </c>
      <c r="S114" s="144">
        <f>+T114-189939</f>
        <v>-2054248.43</v>
      </c>
      <c r="T114" s="144">
        <f>+U114-216558</f>
        <v>-1864309.43</v>
      </c>
      <c r="U114" s="144">
        <f>+V114-212261</f>
        <v>-1647751.43</v>
      </c>
      <c r="V114" s="144">
        <f>+W114-168152</f>
        <v>-1435490.43</v>
      </c>
      <c r="W114" s="144">
        <f>+X114-215682</f>
        <v>-1267338.43</v>
      </c>
      <c r="X114" s="144">
        <f>+Y114-208032</f>
        <v>-1051656.43</v>
      </c>
      <c r="Y114" s="144">
        <f>+Z114-210295</f>
        <v>-843624.42999999993</v>
      </c>
      <c r="Z114" s="144">
        <f>+AA114-194301</f>
        <v>-633329.42999999993</v>
      </c>
      <c r="AA114" s="144">
        <f>+AB114-203361</f>
        <v>-439028.42999999993</v>
      </c>
      <c r="AB114" s="144">
        <v>-235667.42999999993</v>
      </c>
      <c r="AC114" s="341">
        <f>+AB113-AD113</f>
        <v>-4399300.63</v>
      </c>
      <c r="AD114" s="151">
        <f>-1008694.03+261</f>
        <v>-1008433.03</v>
      </c>
      <c r="AE114" s="151">
        <v>-982458.46</v>
      </c>
      <c r="AF114" s="151">
        <v>-366935.6</v>
      </c>
      <c r="AG114" s="151">
        <v>-36639.9</v>
      </c>
      <c r="AH114" s="151">
        <v>-1439317</v>
      </c>
      <c r="AI114" s="151">
        <v>-1373581.44</v>
      </c>
      <c r="AJ114" s="151">
        <v>-912333</v>
      </c>
      <c r="AK114" s="151">
        <v>-436086</v>
      </c>
      <c r="AL114" s="151">
        <v>-1864162.62</v>
      </c>
      <c r="AM114" s="151">
        <v>-1444167</v>
      </c>
      <c r="AN114" s="151">
        <v>-935413</v>
      </c>
      <c r="AO114" s="151">
        <v>-459356</v>
      </c>
      <c r="AP114" s="94"/>
      <c r="AQ114" s="157">
        <v>-2122211</v>
      </c>
      <c r="AR114" s="151">
        <v>-1036928</v>
      </c>
      <c r="AS114" s="151">
        <v>-1036928</v>
      </c>
      <c r="AT114" s="151">
        <v>-873065.58</v>
      </c>
      <c r="AU114" s="151">
        <v>-721040.94</v>
      </c>
      <c r="AV114" s="151">
        <v>-263744</v>
      </c>
      <c r="AW114" s="151">
        <v>-194198.24</v>
      </c>
      <c r="AX114" s="151">
        <v>-122367.79</v>
      </c>
      <c r="AY114" s="151">
        <v>-1170903.76</v>
      </c>
      <c r="AZ114" s="151">
        <v>-1120163.31</v>
      </c>
      <c r="BA114" s="151">
        <v>-911268.5</v>
      </c>
      <c r="BB114" s="157">
        <v>-852617.02</v>
      </c>
      <c r="BC114" s="94"/>
      <c r="BD114" s="178">
        <v>-708000</v>
      </c>
      <c r="BE114" s="157"/>
      <c r="BF114" s="157"/>
      <c r="BG114" s="157"/>
      <c r="BH114" s="157"/>
      <c r="BI114" s="157"/>
      <c r="BJ114" s="65"/>
      <c r="BK114" s="157">
        <v>0</v>
      </c>
      <c r="BN114" s="492"/>
    </row>
    <row r="115" spans="1:66">
      <c r="A115" s="142" t="s">
        <v>231</v>
      </c>
      <c r="B115" s="157"/>
      <c r="C115" s="142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42"/>
      <c r="Q115" s="157"/>
      <c r="R115" s="157"/>
      <c r="S115" s="157"/>
      <c r="T115" s="157"/>
      <c r="U115" s="157"/>
      <c r="V115" s="157">
        <v>0</v>
      </c>
      <c r="W115" s="157">
        <v>0</v>
      </c>
      <c r="X115" s="157">
        <v>0</v>
      </c>
      <c r="Y115" s="157">
        <v>0</v>
      </c>
      <c r="Z115" s="157">
        <v>0</v>
      </c>
      <c r="AA115" s="157">
        <v>0</v>
      </c>
      <c r="AB115" s="157">
        <v>0</v>
      </c>
      <c r="AC115" s="142"/>
      <c r="AD115" s="151">
        <v>0</v>
      </c>
      <c r="AE115" s="151">
        <v>0</v>
      </c>
      <c r="AF115" s="151"/>
      <c r="AG115" s="151">
        <v>0</v>
      </c>
      <c r="AH115" s="151">
        <v>-38000</v>
      </c>
      <c r="AI115" s="151">
        <v>-38000</v>
      </c>
      <c r="AJ115" s="151">
        <v>-38000</v>
      </c>
      <c r="AK115" s="151">
        <v>-38000</v>
      </c>
      <c r="AL115" s="151">
        <v>-190000</v>
      </c>
      <c r="AM115" s="151">
        <v>-190000</v>
      </c>
      <c r="AN115" s="151"/>
      <c r="AO115" s="151"/>
      <c r="AP115" s="94"/>
      <c r="AQ115" s="157"/>
      <c r="AR115" s="151"/>
      <c r="AS115" s="151"/>
      <c r="AT115" s="151"/>
      <c r="AU115" s="151"/>
      <c r="AV115" s="151"/>
      <c r="AW115" s="151"/>
      <c r="AX115" s="151"/>
      <c r="AY115" s="151"/>
      <c r="AZ115" s="151"/>
      <c r="BA115" s="151"/>
      <c r="BB115" s="157"/>
      <c r="BC115" s="94"/>
      <c r="BD115" s="178"/>
      <c r="BE115" s="157"/>
      <c r="BF115" s="157"/>
      <c r="BG115" s="157"/>
      <c r="BH115" s="157"/>
      <c r="BI115" s="157"/>
      <c r="BJ115" s="65"/>
      <c r="BK115" s="157"/>
      <c r="BN115" s="492"/>
    </row>
    <row r="116" spans="1:66" ht="13.5" thickBot="1">
      <c r="A116" s="321" t="s">
        <v>441</v>
      </c>
      <c r="B116" s="173">
        <f>+D116+12849755-3958000</f>
        <v>15748956.030000001</v>
      </c>
      <c r="C116" s="142"/>
      <c r="D116" s="173">
        <f>+E116-3433000</f>
        <v>6857201.0300000012</v>
      </c>
      <c r="E116" s="173">
        <f>+F116-3435000</f>
        <v>10290201.030000001</v>
      </c>
      <c r="F116" s="173">
        <f>+G116</f>
        <v>13725201.030000001</v>
      </c>
      <c r="G116" s="173">
        <f t="shared" ref="G116:M116" si="402">+H116-3433000</f>
        <v>13725201.030000001</v>
      </c>
      <c r="H116" s="173">
        <f t="shared" si="402"/>
        <v>17158201.030000001</v>
      </c>
      <c r="I116" s="173">
        <f t="shared" si="402"/>
        <v>20591201.030000001</v>
      </c>
      <c r="J116" s="173">
        <f t="shared" si="402"/>
        <v>24024201.030000001</v>
      </c>
      <c r="K116" s="173">
        <f t="shared" si="402"/>
        <v>27457201.030000001</v>
      </c>
      <c r="L116" s="173">
        <f t="shared" si="402"/>
        <v>30890201.030000001</v>
      </c>
      <c r="M116" s="173">
        <f t="shared" si="402"/>
        <v>34323201.030000001</v>
      </c>
      <c r="N116" s="173">
        <f>+O116+9334000</f>
        <v>37756201.030000001</v>
      </c>
      <c r="O116" s="173">
        <f>+Q116+Q113+Q114</f>
        <v>28422201.030000001</v>
      </c>
      <c r="P116" s="142"/>
      <c r="Q116" s="173">
        <f>+R116-1000000</f>
        <v>13463000.09</v>
      </c>
      <c r="R116" s="173">
        <f>+S116</f>
        <v>14463000.09</v>
      </c>
      <c r="S116" s="173">
        <f>+T116-3000000</f>
        <v>14463000.09</v>
      </c>
      <c r="T116" s="173">
        <f>+U116</f>
        <v>17463000.09</v>
      </c>
      <c r="U116" s="173">
        <f>+V116</f>
        <v>17463000.09</v>
      </c>
      <c r="V116" s="173">
        <f>+W116</f>
        <v>17463000.09</v>
      </c>
      <c r="W116" s="173">
        <f>+X116-808000</f>
        <v>17463000.09</v>
      </c>
      <c r="X116" s="173">
        <f>+Y116</f>
        <v>18271000.09</v>
      </c>
      <c r="Y116" s="173">
        <f>+Z116</f>
        <v>18271000.09</v>
      </c>
      <c r="Z116" s="173">
        <f>+AA116</f>
        <v>18271000.09</v>
      </c>
      <c r="AA116" s="173">
        <f>+AB116</f>
        <v>18271000.09</v>
      </c>
      <c r="AB116" s="338">
        <f>14987000.09+3284000</f>
        <v>18271000.09</v>
      </c>
      <c r="AC116" s="142"/>
      <c r="AD116" s="323">
        <v>10032433.119999999</v>
      </c>
      <c r="AE116" s="323">
        <v>10032433.119999999</v>
      </c>
      <c r="AF116" s="323">
        <v>10032433.119999999</v>
      </c>
      <c r="AG116" s="323">
        <v>10032433.119999999</v>
      </c>
      <c r="AH116" s="323"/>
      <c r="AI116" s="323"/>
      <c r="AJ116" s="323"/>
      <c r="AK116" s="323"/>
      <c r="AL116" s="323"/>
      <c r="AM116" s="323"/>
      <c r="AN116" s="323"/>
      <c r="AO116" s="323"/>
      <c r="AP116" s="94"/>
      <c r="AQ116" s="324"/>
      <c r="AR116" s="323"/>
      <c r="AS116" s="323"/>
      <c r="AT116" s="323"/>
      <c r="AU116" s="323"/>
      <c r="AV116" s="323"/>
      <c r="AW116" s="323"/>
      <c r="AX116" s="323"/>
      <c r="AY116" s="323"/>
      <c r="AZ116" s="323"/>
      <c r="BA116" s="323"/>
      <c r="BB116" s="324"/>
      <c r="BC116" s="94"/>
      <c r="BD116" s="173"/>
      <c r="BE116" s="173"/>
      <c r="BF116" s="173"/>
      <c r="BG116" s="173"/>
      <c r="BH116" s="173"/>
      <c r="BI116" s="173"/>
      <c r="BJ116" s="65"/>
      <c r="BK116" s="173"/>
      <c r="BN116" s="492"/>
    </row>
    <row r="117" spans="1:66" ht="14.25" thickTop="1" thickBot="1">
      <c r="A117" s="140"/>
      <c r="B117" s="136"/>
      <c r="C117" s="140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40"/>
      <c r="Q117" s="136"/>
      <c r="R117" s="136"/>
      <c r="S117" s="136"/>
      <c r="AC117" s="140"/>
    </row>
    <row r="118" spans="1:66" ht="14.25" thickTop="1" thickBot="1">
      <c r="A118" s="140" t="s">
        <v>232</v>
      </c>
      <c r="B118" s="101">
        <f t="shared" ref="B118:D118" si="403">SUM(B119:B123)</f>
        <v>44679735</v>
      </c>
      <c r="C118" s="315"/>
      <c r="D118" s="101">
        <f t="shared" si="403"/>
        <v>35230529</v>
      </c>
      <c r="E118" s="101">
        <f t="shared" ref="E118:F118" si="404">SUM(E119:E123)</f>
        <v>46596939</v>
      </c>
      <c r="F118" s="101">
        <f t="shared" si="404"/>
        <v>29319455</v>
      </c>
      <c r="G118" s="101">
        <f t="shared" ref="G118:H118" si="405">SUM(G119:G123)</f>
        <v>44412470</v>
      </c>
      <c r="H118" s="101">
        <f t="shared" si="405"/>
        <v>40577188</v>
      </c>
      <c r="I118" s="101">
        <f t="shared" ref="I118:O118" si="406">SUM(I119:I123)</f>
        <v>36741704</v>
      </c>
      <c r="J118" s="101">
        <f t="shared" si="406"/>
        <v>33292159</v>
      </c>
      <c r="K118" s="101">
        <f t="shared" si="406"/>
        <v>37217535</v>
      </c>
      <c r="L118" s="101">
        <f t="shared" si="406"/>
        <v>34393304</v>
      </c>
      <c r="M118" s="101">
        <f t="shared" si="406"/>
        <v>34933166</v>
      </c>
      <c r="N118" s="101">
        <f t="shared" si="406"/>
        <v>29421784</v>
      </c>
      <c r="O118" s="101">
        <f t="shared" si="406"/>
        <v>16395504</v>
      </c>
      <c r="P118" s="315"/>
      <c r="Q118" s="101">
        <f>SUM(Q119:Q123)</f>
        <v>16398640</v>
      </c>
      <c r="R118" s="101">
        <f t="shared" ref="R118:AB118" si="407">SUM(R119:R123)</f>
        <v>16775928</v>
      </c>
      <c r="S118" s="101">
        <f t="shared" si="407"/>
        <v>16355689</v>
      </c>
      <c r="T118" s="101">
        <f t="shared" si="407"/>
        <v>20855057</v>
      </c>
      <c r="U118" s="101">
        <f>SUM(U119:U123)</f>
        <v>17768027</v>
      </c>
      <c r="V118" s="101">
        <f t="shared" si="407"/>
        <v>17113268</v>
      </c>
      <c r="W118" s="101">
        <f t="shared" si="407"/>
        <v>17254521</v>
      </c>
      <c r="X118" s="101">
        <f t="shared" si="407"/>
        <v>17747629</v>
      </c>
      <c r="Y118" s="101">
        <f t="shared" si="407"/>
        <v>16716484</v>
      </c>
      <c r="Z118" s="101">
        <f t="shared" si="407"/>
        <v>15252005</v>
      </c>
      <c r="AA118" s="101">
        <f t="shared" si="407"/>
        <v>14121100</v>
      </c>
      <c r="AB118" s="101">
        <f t="shared" si="407"/>
        <v>11572647</v>
      </c>
      <c r="AC118" s="315"/>
      <c r="AD118" s="75">
        <f t="shared" ref="AD118:AO118" si="408">SUM(AD119:AD123)</f>
        <v>10384219</v>
      </c>
      <c r="AE118" s="101">
        <f t="shared" si="408"/>
        <v>11172268</v>
      </c>
      <c r="AF118" s="101">
        <f t="shared" si="408"/>
        <v>10466235</v>
      </c>
      <c r="AG118" s="101">
        <f t="shared" si="408"/>
        <v>5838235</v>
      </c>
      <c r="AH118" s="101">
        <f t="shared" si="408"/>
        <v>5506749</v>
      </c>
      <c r="AI118" s="101">
        <f t="shared" si="408"/>
        <v>4822615</v>
      </c>
      <c r="AJ118" s="101">
        <f t="shared" si="408"/>
        <v>5416539</v>
      </c>
      <c r="AK118" s="101">
        <f t="shared" si="408"/>
        <v>5076869</v>
      </c>
      <c r="AL118" s="101">
        <f t="shared" si="408"/>
        <v>4520753</v>
      </c>
      <c r="AM118" s="101">
        <f t="shared" si="408"/>
        <v>3964637</v>
      </c>
      <c r="AN118" s="101">
        <f t="shared" si="408"/>
        <v>2285266</v>
      </c>
      <c r="AO118" s="101">
        <f t="shared" si="408"/>
        <v>3714002</v>
      </c>
      <c r="AP118" s="95"/>
      <c r="AQ118" s="75">
        <f t="shared" ref="AQ118:BB118" si="409">SUM(AQ119:AQ123)</f>
        <v>3419676.6587599972</v>
      </c>
      <c r="AR118" s="101">
        <f t="shared" si="409"/>
        <v>6199779</v>
      </c>
      <c r="AS118" s="101">
        <f t="shared" si="409"/>
        <v>5368633</v>
      </c>
      <c r="AT118" s="101">
        <f t="shared" si="409"/>
        <v>4087491</v>
      </c>
      <c r="AU118" s="101">
        <f t="shared" si="409"/>
        <v>2824195</v>
      </c>
      <c r="AV118" s="101">
        <f t="shared" si="409"/>
        <v>2579874</v>
      </c>
      <c r="AW118" s="101">
        <f t="shared" si="409"/>
        <v>2162737</v>
      </c>
      <c r="AX118" s="101">
        <f t="shared" si="409"/>
        <v>2463015</v>
      </c>
      <c r="AY118" s="101">
        <f t="shared" si="409"/>
        <v>2463015</v>
      </c>
      <c r="AZ118" s="101">
        <f t="shared" si="409"/>
        <v>2463015</v>
      </c>
      <c r="BA118" s="101">
        <f t="shared" si="409"/>
        <v>1463015</v>
      </c>
      <c r="BB118" s="101">
        <f t="shared" si="409"/>
        <v>2415217</v>
      </c>
      <c r="BC118" s="95"/>
      <c r="BD118" s="101">
        <f t="shared" ref="BD118:BI118" si="410">SUM(BD119:BD123)</f>
        <v>1499566.3306666671</v>
      </c>
      <c r="BE118" s="101">
        <f t="shared" si="410"/>
        <v>0</v>
      </c>
      <c r="BF118" s="101">
        <f t="shared" si="410"/>
        <v>0</v>
      </c>
      <c r="BG118" s="101">
        <f t="shared" si="410"/>
        <v>0</v>
      </c>
      <c r="BH118" s="101">
        <f t="shared" si="410"/>
        <v>0</v>
      </c>
      <c r="BI118" s="101">
        <f t="shared" si="410"/>
        <v>0</v>
      </c>
      <c r="BJ118" s="95"/>
      <c r="BK118" s="101">
        <f>SUM(BK119:BK123)</f>
        <v>0</v>
      </c>
    </row>
    <row r="119" spans="1:66" ht="13.5" thickTop="1">
      <c r="A119" s="64" t="s">
        <v>233</v>
      </c>
      <c r="B119" s="115">
        <v>19611117</v>
      </c>
      <c r="D119" s="115">
        <v>14538199</v>
      </c>
      <c r="E119" s="115">
        <v>13442000</v>
      </c>
      <c r="F119" s="115">
        <v>0</v>
      </c>
      <c r="G119" s="115">
        <v>17060800</v>
      </c>
      <c r="H119" s="115">
        <v>17061002</v>
      </c>
      <c r="I119" s="115">
        <v>17061002</v>
      </c>
      <c r="J119" s="115">
        <v>16386868</v>
      </c>
      <c r="K119" s="115">
        <v>15959000</v>
      </c>
      <c r="L119" s="115">
        <v>16761000</v>
      </c>
      <c r="M119" s="115">
        <v>15403235</v>
      </c>
      <c r="N119" s="115">
        <v>13332019</v>
      </c>
      <c r="O119" s="115">
        <v>3319000</v>
      </c>
      <c r="Q119" s="115">
        <v>4039400</v>
      </c>
      <c r="R119" s="115">
        <v>3454600</v>
      </c>
      <c r="S119" s="115">
        <v>3684267</v>
      </c>
      <c r="T119" s="115">
        <v>8875200</v>
      </c>
      <c r="U119" s="115">
        <v>5007533</v>
      </c>
      <c r="V119" s="115">
        <v>4715133</v>
      </c>
      <c r="W119" s="115">
        <v>4568933</v>
      </c>
      <c r="X119" s="115">
        <v>6024400</v>
      </c>
      <c r="Y119" s="115">
        <v>6268067</v>
      </c>
      <c r="Z119" s="115">
        <v>6078400</v>
      </c>
      <c r="AA119" s="115">
        <f>4590507+407400+407400+817000</f>
        <v>6222307</v>
      </c>
      <c r="AB119" s="115">
        <f>3590665+679000+679000</f>
        <v>4948665</v>
      </c>
      <c r="AD119" s="115">
        <v>3943548</v>
      </c>
      <c r="AE119" s="115">
        <v>3688852</v>
      </c>
      <c r="AF119" s="115">
        <v>3775288</v>
      </c>
      <c r="AG119" s="115">
        <v>0</v>
      </c>
      <c r="AH119" s="115">
        <v>0</v>
      </c>
      <c r="AI119" s="115">
        <v>0</v>
      </c>
      <c r="AJ119" s="115">
        <v>0</v>
      </c>
      <c r="AK119" s="115">
        <v>0</v>
      </c>
      <c r="AL119" s="115">
        <v>0</v>
      </c>
      <c r="AM119" s="115">
        <v>0</v>
      </c>
      <c r="AN119" s="115">
        <v>0</v>
      </c>
      <c r="AO119" s="115">
        <v>0</v>
      </c>
      <c r="AP119" s="94"/>
      <c r="AQ119" s="115">
        <v>0</v>
      </c>
      <c r="AR119" s="115"/>
      <c r="AS119" s="115"/>
      <c r="AT119" s="115"/>
      <c r="AU119" s="115"/>
      <c r="AV119" s="115"/>
      <c r="AW119" s="115"/>
      <c r="AX119" s="115"/>
      <c r="AY119" s="115"/>
      <c r="AZ119" s="115"/>
      <c r="BA119" s="115"/>
      <c r="BB119" s="115"/>
      <c r="BC119" s="94"/>
      <c r="BD119" s="115">
        <v>0</v>
      </c>
      <c r="BE119" s="115"/>
      <c r="BF119" s="115"/>
      <c r="BG119" s="115"/>
      <c r="BH119" s="115"/>
      <c r="BI119" s="115"/>
      <c r="BJ119" s="65"/>
      <c r="BK119" s="115">
        <v>0</v>
      </c>
    </row>
    <row r="120" spans="1:66">
      <c r="A120" s="64" t="s">
        <v>234</v>
      </c>
      <c r="B120" s="157">
        <f>+D120+1681892</f>
        <v>14898492</v>
      </c>
      <c r="D120" s="157">
        <f>+E120+1448951-4923335</f>
        <v>13216600</v>
      </c>
      <c r="E120" s="157">
        <f>+F120+1476648</f>
        <v>16690984</v>
      </c>
      <c r="F120" s="157">
        <f>+G120+1476648-938024</f>
        <v>15214336</v>
      </c>
      <c r="G120" s="157">
        <f>+H120+1476648</f>
        <v>14675712</v>
      </c>
      <c r="H120" s="157">
        <f>+I120+1476648</f>
        <v>13199064</v>
      </c>
      <c r="I120" s="157">
        <v>11722416</v>
      </c>
      <c r="J120" s="157">
        <f>9693933+1443087-477314</f>
        <v>10659706</v>
      </c>
      <c r="K120" s="157">
        <v>9693933</v>
      </c>
      <c r="L120" s="157">
        <v>8289201</v>
      </c>
      <c r="M120" s="157">
        <v>10535734</v>
      </c>
      <c r="N120" s="157">
        <v>9200854</v>
      </c>
      <c r="O120" s="157">
        <f>+Q120+270584</f>
        <v>8032837</v>
      </c>
      <c r="Q120" s="157">
        <v>7762253</v>
      </c>
      <c r="R120" s="157">
        <v>7518587</v>
      </c>
      <c r="S120" s="157">
        <v>7274921</v>
      </c>
      <c r="T120" s="157">
        <v>7015011</v>
      </c>
      <c r="U120" s="157">
        <v>6649512</v>
      </c>
      <c r="V120" s="157">
        <v>6284013</v>
      </c>
      <c r="W120" s="157">
        <v>6405846</v>
      </c>
      <c r="X120" s="157">
        <v>6040347</v>
      </c>
      <c r="Y120" s="157">
        <v>5553015</v>
      </c>
      <c r="Z120" s="157">
        <v>5065683</v>
      </c>
      <c r="AA120" s="157">
        <v>4578351</v>
      </c>
      <c r="AB120" s="157">
        <f>3969187+121833</f>
        <v>4091020</v>
      </c>
      <c r="AD120" s="157">
        <v>3725520</v>
      </c>
      <c r="AE120" s="157">
        <v>3399279</v>
      </c>
      <c r="AF120" s="157">
        <v>3090508</v>
      </c>
      <c r="AG120" s="157">
        <v>2758265</v>
      </c>
      <c r="AH120" s="157">
        <v>2737817</v>
      </c>
      <c r="AI120" s="157">
        <v>2412797</v>
      </c>
      <c r="AJ120" s="157">
        <v>2196117</v>
      </c>
      <c r="AK120" s="157">
        <v>1921655</v>
      </c>
      <c r="AL120" s="157">
        <v>1704975</v>
      </c>
      <c r="AM120" s="157">
        <v>1488295</v>
      </c>
      <c r="AN120" s="157">
        <v>629224</v>
      </c>
      <c r="AO120" s="157">
        <v>2397396</v>
      </c>
      <c r="AP120" s="94"/>
      <c r="AQ120" s="157">
        <v>2180716.0200933302</v>
      </c>
      <c r="AR120" s="157">
        <v>2498092</v>
      </c>
      <c r="AS120" s="157">
        <v>2448039</v>
      </c>
      <c r="AT120" s="157">
        <v>1947989</v>
      </c>
      <c r="AU120" s="157">
        <v>1454717</v>
      </c>
      <c r="AV120" s="157">
        <v>1357213</v>
      </c>
      <c r="AW120" s="157">
        <v>1310944</v>
      </c>
      <c r="AX120" s="157">
        <v>1310944</v>
      </c>
      <c r="AY120" s="157">
        <v>1310944</v>
      </c>
      <c r="AZ120" s="157">
        <v>1310944</v>
      </c>
      <c r="BA120" s="157">
        <v>310944</v>
      </c>
      <c r="BB120" s="157">
        <v>1292332</v>
      </c>
      <c r="BC120" s="94"/>
      <c r="BD120" s="157">
        <v>937116</v>
      </c>
      <c r="BE120" s="157"/>
      <c r="BF120" s="157"/>
      <c r="BG120" s="157"/>
      <c r="BH120" s="157"/>
      <c r="BI120" s="157"/>
      <c r="BJ120" s="65"/>
      <c r="BK120" s="157">
        <v>0</v>
      </c>
    </row>
    <row r="121" spans="1:66">
      <c r="A121" s="64" t="s">
        <v>235</v>
      </c>
      <c r="B121" s="144">
        <f>+D121+201827</f>
        <v>1724191</v>
      </c>
      <c r="D121" s="144">
        <f>+E121+173874-590802</f>
        <v>1522364</v>
      </c>
      <c r="E121" s="144">
        <f>+F121+177198</f>
        <v>1939292</v>
      </c>
      <c r="F121" s="144">
        <f>+G121+177198-112563</f>
        <v>1762094</v>
      </c>
      <c r="G121" s="144">
        <f>+H121+177198</f>
        <v>1697459</v>
      </c>
      <c r="H121" s="144">
        <f>+I121+177198</f>
        <v>1520261</v>
      </c>
      <c r="I121" s="144">
        <v>1343063</v>
      </c>
      <c r="J121" s="144">
        <v>1215538</v>
      </c>
      <c r="K121" s="144">
        <v>1099646</v>
      </c>
      <c r="L121" s="144">
        <v>931078</v>
      </c>
      <c r="M121" s="144">
        <v>1200703</v>
      </c>
      <c r="N121" s="144">
        <v>1040517</v>
      </c>
      <c r="O121" s="144">
        <f>+Q121+32470</f>
        <v>900352</v>
      </c>
      <c r="Q121" s="144">
        <v>867882</v>
      </c>
      <c r="R121" s="144">
        <v>838642</v>
      </c>
      <c r="S121" s="144">
        <v>809402</v>
      </c>
      <c r="T121" s="144">
        <v>778213</v>
      </c>
      <c r="U121" s="144">
        <v>734353</v>
      </c>
      <c r="V121" s="144">
        <v>690493</v>
      </c>
      <c r="W121" s="144">
        <v>705113</v>
      </c>
      <c r="X121" s="144">
        <v>661253</v>
      </c>
      <c r="Y121" s="144">
        <v>602773</v>
      </c>
      <c r="Z121" s="144">
        <f>494641+14620+4386+4386+8810+5117+4873+7460</f>
        <v>544293</v>
      </c>
      <c r="AA121" s="144">
        <f>453611+14620+4386+4386+8810</f>
        <v>485813</v>
      </c>
      <c r="AB121" s="144">
        <f>412713+14620</f>
        <v>427333</v>
      </c>
      <c r="AD121" s="144">
        <v>383473</v>
      </c>
      <c r="AE121" s="144">
        <v>344308</v>
      </c>
      <c r="AF121" s="144">
        <v>307241</v>
      </c>
      <c r="AG121" s="144">
        <v>267356</v>
      </c>
      <c r="AH121" s="144">
        <v>264888</v>
      </c>
      <c r="AI121" s="144">
        <v>225870</v>
      </c>
      <c r="AJ121" s="144">
        <v>199858</v>
      </c>
      <c r="AK121" s="144">
        <v>166909</v>
      </c>
      <c r="AL121" s="144">
        <v>140897</v>
      </c>
      <c r="AM121" s="144">
        <v>114885</v>
      </c>
      <c r="AN121" s="144">
        <v>52024</v>
      </c>
      <c r="AO121" s="144">
        <v>26012</v>
      </c>
      <c r="AP121" s="94"/>
      <c r="AQ121" s="144">
        <v>261790.63866666699</v>
      </c>
      <c r="AR121" s="144">
        <v>456507</v>
      </c>
      <c r="AS121" s="144">
        <v>396477</v>
      </c>
      <c r="AT121" s="144">
        <v>336445</v>
      </c>
      <c r="AU121" s="144">
        <v>277228</v>
      </c>
      <c r="AV121" s="144">
        <v>265514</v>
      </c>
      <c r="AW121" s="144">
        <v>259958</v>
      </c>
      <c r="AX121" s="144">
        <v>259958</v>
      </c>
      <c r="AY121" s="144">
        <v>259958</v>
      </c>
      <c r="AZ121" s="144">
        <v>259958</v>
      </c>
      <c r="BA121" s="144">
        <v>259958</v>
      </c>
      <c r="BB121" s="144">
        <v>257724</v>
      </c>
      <c r="BC121" s="94"/>
      <c r="BD121" s="144">
        <v>138127.330666667</v>
      </c>
      <c r="BE121" s="144"/>
      <c r="BF121" s="144"/>
      <c r="BG121" s="144"/>
      <c r="BH121" s="144"/>
      <c r="BI121" s="144"/>
      <c r="BJ121" s="65"/>
      <c r="BK121" s="144">
        <v>0</v>
      </c>
    </row>
    <row r="122" spans="1:66">
      <c r="A122" s="64" t="s">
        <v>236</v>
      </c>
      <c r="B122" s="157">
        <f>+D122+1752650</f>
        <v>1968401</v>
      </c>
      <c r="D122" s="157">
        <v>215751</v>
      </c>
      <c r="E122" s="157">
        <f>+F122+1526648</f>
        <v>7227360</v>
      </c>
      <c r="F122" s="157">
        <f>+G122+1526648-405876</f>
        <v>5700712</v>
      </c>
      <c r="G122" s="157">
        <f>+H122+1526648</f>
        <v>4579940</v>
      </c>
      <c r="H122" s="157">
        <f>+I122+1526648</f>
        <v>3053292</v>
      </c>
      <c r="I122" s="157">
        <v>1526644</v>
      </c>
      <c r="J122" s="157">
        <v>413934</v>
      </c>
      <c r="K122" s="157">
        <v>5495748</v>
      </c>
      <c r="L122" s="157">
        <v>4066016</v>
      </c>
      <c r="M122" s="157">
        <v>3230224</v>
      </c>
      <c r="N122" s="157">
        <v>1870344</v>
      </c>
      <c r="O122" s="157">
        <f>+Q122+295584</f>
        <v>677327</v>
      </c>
      <c r="Q122" s="157">
        <v>381743</v>
      </c>
      <c r="R122" s="157">
        <v>1725071</v>
      </c>
      <c r="S122" s="157">
        <v>1456405</v>
      </c>
      <c r="T122" s="157">
        <v>1171495</v>
      </c>
      <c r="U122" s="157">
        <v>2523992</v>
      </c>
      <c r="V122" s="157">
        <v>2733493</v>
      </c>
      <c r="W122" s="157">
        <v>2830326</v>
      </c>
      <c r="X122" s="157">
        <v>2439827</v>
      </c>
      <c r="Y122" s="157">
        <v>1927495</v>
      </c>
      <c r="Z122" s="157">
        <v>1415163</v>
      </c>
      <c r="AA122" s="157">
        <v>902831</v>
      </c>
      <c r="AB122" s="157">
        <f>268667+121833</f>
        <v>390500</v>
      </c>
      <c r="AD122" s="157">
        <v>779049</v>
      </c>
      <c r="AE122" s="157">
        <v>1482455</v>
      </c>
      <c r="AF122" s="157">
        <v>1173684</v>
      </c>
      <c r="AG122" s="157">
        <v>841441</v>
      </c>
      <c r="AH122" s="157">
        <v>541700</v>
      </c>
      <c r="AI122" s="157">
        <v>366720</v>
      </c>
      <c r="AJ122" s="157">
        <v>1300080</v>
      </c>
      <c r="AK122" s="157">
        <v>1390363</v>
      </c>
      <c r="AL122" s="157">
        <v>1173683</v>
      </c>
      <c r="AM122" s="157">
        <v>957003</v>
      </c>
      <c r="AN122" s="157">
        <v>433360</v>
      </c>
      <c r="AO122" s="157">
        <v>216680</v>
      </c>
      <c r="AP122" s="94"/>
      <c r="AQ122" s="157">
        <v>0</v>
      </c>
      <c r="AR122" s="157">
        <v>1937426</v>
      </c>
      <c r="AS122" s="157">
        <v>1437373</v>
      </c>
      <c r="AT122" s="157">
        <v>937323</v>
      </c>
      <c r="AU122" s="157">
        <v>444051</v>
      </c>
      <c r="AV122" s="157">
        <v>346547</v>
      </c>
      <c r="AW122" s="157">
        <v>0</v>
      </c>
      <c r="AX122" s="157">
        <v>300278</v>
      </c>
      <c r="AY122" s="157">
        <v>300278</v>
      </c>
      <c r="AZ122" s="157">
        <v>300278</v>
      </c>
      <c r="BA122" s="157">
        <v>300278</v>
      </c>
      <c r="BB122" s="157">
        <v>281666</v>
      </c>
      <c r="BC122" s="94"/>
      <c r="BD122" s="157">
        <v>0</v>
      </c>
      <c r="BE122" s="157"/>
      <c r="BF122" s="157"/>
      <c r="BG122" s="157"/>
      <c r="BH122" s="157"/>
      <c r="BI122" s="157"/>
      <c r="BJ122" s="65"/>
      <c r="BK122" s="157"/>
    </row>
    <row r="123" spans="1:66" ht="13.5" thickBot="1">
      <c r="A123" s="64" t="s">
        <v>237</v>
      </c>
      <c r="B123" s="173">
        <f>+D123+739919</f>
        <v>6477534</v>
      </c>
      <c r="D123" s="173">
        <f>+E123+641143-2200831</f>
        <v>5737615</v>
      </c>
      <c r="E123" s="173">
        <f>+F123+654990</f>
        <v>7297303</v>
      </c>
      <c r="F123" s="173">
        <f>+G123+654990-411236</f>
        <v>6642313</v>
      </c>
      <c r="G123" s="173">
        <f>+H123+654990</f>
        <v>6398559</v>
      </c>
      <c r="H123" s="173">
        <f>+I123+654990</f>
        <v>5743569</v>
      </c>
      <c r="I123" s="173">
        <v>5088579</v>
      </c>
      <c r="J123" s="173">
        <f>4969208-321156-31939</f>
        <v>4616113</v>
      </c>
      <c r="K123" s="173">
        <v>4969208</v>
      </c>
      <c r="L123" s="173">
        <v>4346009</v>
      </c>
      <c r="M123" s="173">
        <v>4563270</v>
      </c>
      <c r="N123" s="173">
        <v>3978050</v>
      </c>
      <c r="O123" s="173">
        <f>+Q123+118626</f>
        <v>3465988</v>
      </c>
      <c r="Q123" s="173">
        <v>3347362</v>
      </c>
      <c r="R123" s="173">
        <v>3239028</v>
      </c>
      <c r="S123" s="173">
        <v>3130694</v>
      </c>
      <c r="T123" s="173">
        <v>3015138</v>
      </c>
      <c r="U123" s="173">
        <v>2852637</v>
      </c>
      <c r="V123" s="173">
        <v>2690136</v>
      </c>
      <c r="W123" s="173">
        <v>2744303</v>
      </c>
      <c r="X123" s="173">
        <v>2581802</v>
      </c>
      <c r="Y123" s="173">
        <v>2365134</v>
      </c>
      <c r="Z123" s="173">
        <v>2148466</v>
      </c>
      <c r="AA123" s="173">
        <v>1931798</v>
      </c>
      <c r="AB123" s="173">
        <f>1660962+54167</f>
        <v>1715129</v>
      </c>
      <c r="AD123" s="173">
        <v>1552629</v>
      </c>
      <c r="AE123" s="173">
        <v>2257374</v>
      </c>
      <c r="AF123" s="173">
        <v>2119514</v>
      </c>
      <c r="AG123" s="173">
        <v>1971173</v>
      </c>
      <c r="AH123" s="173">
        <v>1962344</v>
      </c>
      <c r="AI123" s="173">
        <v>1817228</v>
      </c>
      <c r="AJ123" s="173">
        <v>1720484</v>
      </c>
      <c r="AK123" s="173">
        <v>1597942</v>
      </c>
      <c r="AL123" s="173">
        <v>1501198</v>
      </c>
      <c r="AM123" s="173">
        <v>1404454</v>
      </c>
      <c r="AN123" s="173">
        <v>1170658</v>
      </c>
      <c r="AO123" s="173">
        <v>1073914</v>
      </c>
      <c r="AP123" s="94"/>
      <c r="AQ123" s="173">
        <v>977170</v>
      </c>
      <c r="AR123" s="173">
        <v>1307754</v>
      </c>
      <c r="AS123" s="173">
        <v>1086744</v>
      </c>
      <c r="AT123" s="173">
        <v>865734</v>
      </c>
      <c r="AU123" s="173">
        <v>648199</v>
      </c>
      <c r="AV123" s="173">
        <v>610600</v>
      </c>
      <c r="AW123" s="173">
        <v>591835</v>
      </c>
      <c r="AX123" s="173">
        <v>591835</v>
      </c>
      <c r="AY123" s="173">
        <v>591835</v>
      </c>
      <c r="AZ123" s="173">
        <v>591835</v>
      </c>
      <c r="BA123" s="173">
        <v>591835</v>
      </c>
      <c r="BB123" s="173">
        <v>583495</v>
      </c>
      <c r="BC123" s="94"/>
      <c r="BD123" s="173">
        <v>424323</v>
      </c>
      <c r="BE123" s="173"/>
      <c r="BF123" s="173"/>
      <c r="BG123" s="173"/>
      <c r="BH123" s="173"/>
      <c r="BI123" s="173"/>
      <c r="BJ123" s="65"/>
      <c r="BK123" s="173">
        <v>0</v>
      </c>
    </row>
    <row r="124" spans="1:66" ht="14.25" thickTop="1" thickBot="1">
      <c r="A124" s="140"/>
      <c r="B124" s="166"/>
      <c r="C124" s="140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40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40"/>
      <c r="AD124" s="141"/>
      <c r="AE124" s="141"/>
      <c r="AF124" s="141"/>
      <c r="AG124" s="141"/>
      <c r="AH124" s="141"/>
      <c r="AI124" s="141"/>
      <c r="AJ124" s="141"/>
      <c r="AK124" s="141"/>
      <c r="AL124" s="141"/>
      <c r="AM124" s="141"/>
      <c r="AN124" s="141"/>
      <c r="AO124" s="141"/>
      <c r="AR124" s="141"/>
      <c r="AS124" s="141"/>
      <c r="AT124" s="141"/>
      <c r="AU124" s="141"/>
      <c r="AV124" s="141"/>
      <c r="AW124" s="141"/>
      <c r="AX124" s="141"/>
      <c r="AY124" s="141"/>
      <c r="AZ124" s="141"/>
      <c r="BA124" s="141"/>
      <c r="BB124" s="141"/>
      <c r="BC124" s="188"/>
      <c r="BD124" s="141"/>
      <c r="BE124" s="141"/>
      <c r="BF124" s="141"/>
      <c r="BG124" s="141"/>
      <c r="BH124" s="141"/>
      <c r="BI124" s="141"/>
      <c r="BK124" s="141"/>
    </row>
    <row r="125" spans="1:66" ht="14.25" thickTop="1" thickBot="1">
      <c r="A125" s="140" t="s">
        <v>238</v>
      </c>
      <c r="B125" s="101">
        <f t="shared" ref="B125:W125" si="411">+B126</f>
        <v>6684000</v>
      </c>
      <c r="C125" s="315"/>
      <c r="D125" s="101">
        <f t="shared" si="411"/>
        <v>6684000</v>
      </c>
      <c r="E125" s="101">
        <f t="shared" si="411"/>
        <v>6684000</v>
      </c>
      <c r="F125" s="101">
        <f t="shared" si="411"/>
        <v>6684000</v>
      </c>
      <c r="G125" s="101">
        <f t="shared" si="411"/>
        <v>6684000</v>
      </c>
      <c r="H125" s="101">
        <f t="shared" si="411"/>
        <v>6684000</v>
      </c>
      <c r="I125" s="101">
        <f t="shared" si="411"/>
        <v>6684000</v>
      </c>
      <c r="J125" s="101">
        <f t="shared" si="411"/>
        <v>4284000</v>
      </c>
      <c r="K125" s="101">
        <f t="shared" si="411"/>
        <v>4284000</v>
      </c>
      <c r="L125" s="101">
        <f t="shared" si="411"/>
        <v>0</v>
      </c>
      <c r="M125" s="101">
        <f t="shared" si="411"/>
        <v>0</v>
      </c>
      <c r="N125" s="101">
        <f t="shared" si="411"/>
        <v>0</v>
      </c>
      <c r="O125" s="101">
        <f t="shared" si="411"/>
        <v>0</v>
      </c>
      <c r="P125" s="315"/>
      <c r="Q125" s="75">
        <f t="shared" si="411"/>
        <v>0</v>
      </c>
      <c r="R125" s="101">
        <f t="shared" si="411"/>
        <v>0</v>
      </c>
      <c r="S125" s="101">
        <f t="shared" si="411"/>
        <v>0</v>
      </c>
      <c r="T125" s="101">
        <f t="shared" si="411"/>
        <v>0</v>
      </c>
      <c r="U125" s="101">
        <f t="shared" si="411"/>
        <v>0</v>
      </c>
      <c r="V125" s="101">
        <f t="shared" si="411"/>
        <v>0</v>
      </c>
      <c r="W125" s="101">
        <f t="shared" si="411"/>
        <v>0</v>
      </c>
      <c r="X125" s="101">
        <f t="shared" ref="X125:AB125" si="412">+X126</f>
        <v>1685431</v>
      </c>
      <c r="Y125" s="101">
        <f t="shared" si="412"/>
        <v>1685431</v>
      </c>
      <c r="Z125" s="101">
        <f t="shared" si="412"/>
        <v>896220</v>
      </c>
      <c r="AA125" s="101">
        <f t="shared" si="412"/>
        <v>262800</v>
      </c>
      <c r="AB125" s="75">
        <f t="shared" si="412"/>
        <v>0</v>
      </c>
      <c r="AC125" s="140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9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95"/>
      <c r="BD125" s="75"/>
      <c r="BE125" s="75"/>
      <c r="BF125" s="75"/>
      <c r="BG125" s="75"/>
      <c r="BH125" s="75"/>
      <c r="BI125" s="75"/>
      <c r="BJ125" s="95"/>
      <c r="BK125" s="75"/>
    </row>
    <row r="126" spans="1:66" ht="14.25" thickTop="1" thickBot="1">
      <c r="A126" s="64" t="s">
        <v>613</v>
      </c>
      <c r="B126" s="502">
        <f t="shared" ref="B126:I126" si="413">4284000+2400000</f>
        <v>6684000</v>
      </c>
      <c r="C126" s="140"/>
      <c r="D126" s="502">
        <f t="shared" si="413"/>
        <v>6684000</v>
      </c>
      <c r="E126" s="72">
        <f t="shared" si="413"/>
        <v>6684000</v>
      </c>
      <c r="F126" s="72">
        <f t="shared" si="413"/>
        <v>6684000</v>
      </c>
      <c r="G126" s="72">
        <f t="shared" si="413"/>
        <v>6684000</v>
      </c>
      <c r="H126" s="72">
        <f t="shared" si="413"/>
        <v>6684000</v>
      </c>
      <c r="I126" s="72">
        <f t="shared" si="413"/>
        <v>6684000</v>
      </c>
      <c r="J126" s="72">
        <v>4284000</v>
      </c>
      <c r="K126" s="72">
        <v>4284000</v>
      </c>
      <c r="L126" s="72"/>
      <c r="M126" s="72"/>
      <c r="N126" s="72"/>
      <c r="O126" s="72"/>
      <c r="P126" s="140"/>
      <c r="Q126" s="72"/>
      <c r="R126" s="72"/>
      <c r="S126" s="72"/>
      <c r="T126" s="72"/>
      <c r="U126" s="72"/>
      <c r="V126" s="72">
        <v>0</v>
      </c>
      <c r="W126" s="72">
        <v>0</v>
      </c>
      <c r="X126" s="72">
        <f>+Y126</f>
        <v>1685431</v>
      </c>
      <c r="Y126" s="72">
        <f>+Z126+789211</f>
        <v>1685431</v>
      </c>
      <c r="Z126" s="72">
        <f>+AA126+633420</f>
        <v>896220</v>
      </c>
      <c r="AA126" s="72">
        <v>262800</v>
      </c>
      <c r="AB126" s="72">
        <v>0</v>
      </c>
      <c r="AC126" s="140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188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188"/>
      <c r="BD126" s="72"/>
      <c r="BE126" s="72"/>
      <c r="BF126" s="72"/>
      <c r="BG126" s="72"/>
      <c r="BH126" s="72"/>
      <c r="BI126" s="72"/>
      <c r="BK126" s="72"/>
    </row>
    <row r="127" spans="1:66" ht="14.25" thickTop="1" thickBot="1">
      <c r="A127" s="140"/>
      <c r="B127" s="141"/>
      <c r="C127" s="140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0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0"/>
      <c r="AD127" s="141"/>
      <c r="AE127" s="141"/>
      <c r="AF127" s="141"/>
      <c r="AG127" s="141"/>
      <c r="AH127" s="141"/>
      <c r="AI127" s="141"/>
      <c r="AJ127" s="141"/>
      <c r="AK127" s="141"/>
      <c r="AL127" s="141"/>
      <c r="AM127" s="141"/>
      <c r="AN127" s="141"/>
      <c r="AO127" s="141"/>
      <c r="AR127" s="141"/>
      <c r="AS127" s="141"/>
      <c r="AT127" s="141"/>
      <c r="AU127" s="141"/>
      <c r="AV127" s="141"/>
      <c r="AW127" s="141"/>
      <c r="AX127" s="141"/>
      <c r="AY127" s="141"/>
      <c r="AZ127" s="141"/>
      <c r="BA127" s="141"/>
      <c r="BB127" s="141"/>
      <c r="BC127" s="188"/>
      <c r="BD127" s="141"/>
      <c r="BE127" s="141"/>
      <c r="BF127" s="141"/>
      <c r="BG127" s="141"/>
      <c r="BH127" s="141"/>
      <c r="BI127" s="141"/>
      <c r="BK127" s="141"/>
    </row>
    <row r="128" spans="1:66" ht="14.25" thickTop="1" thickBot="1">
      <c r="A128" s="70" t="s">
        <v>239</v>
      </c>
      <c r="B128" s="328">
        <f t="shared" ref="B128" si="414">+B125+B118+B107+B98+B95+B79</f>
        <v>99032900.898499995</v>
      </c>
      <c r="C128" s="70"/>
      <c r="D128" s="328">
        <f t="shared" ref="D128:E128" si="415">+D125+D118+D107+D98+D95+D79</f>
        <v>96533587.898499995</v>
      </c>
      <c r="E128" s="328">
        <f t="shared" si="415"/>
        <v>103430767.6485</v>
      </c>
      <c r="F128" s="328">
        <f t="shared" ref="F128:G128" si="416">+F125+F118+F107+F98+F95+F79</f>
        <v>85653812.298500001</v>
      </c>
      <c r="G128" s="328">
        <f t="shared" si="416"/>
        <v>95586001.148499995</v>
      </c>
      <c r="H128" s="328">
        <f t="shared" ref="H128:I128" si="417">+H125+H118+H107+H98+H95+H79</f>
        <v>88202407.198500007</v>
      </c>
      <c r="I128" s="328">
        <f t="shared" si="417"/>
        <v>88569171.714000002</v>
      </c>
      <c r="J128" s="328">
        <f t="shared" ref="J128:O128" si="418">+J125+J118+J107+J98+J95+J79</f>
        <v>81501058.363999993</v>
      </c>
      <c r="K128" s="328">
        <f t="shared" si="418"/>
        <v>90867909.813999996</v>
      </c>
      <c r="L128" s="328">
        <f t="shared" si="418"/>
        <v>98784548.976999998</v>
      </c>
      <c r="M128" s="328">
        <f t="shared" si="418"/>
        <v>108014601.57699999</v>
      </c>
      <c r="N128" s="328">
        <f t="shared" si="418"/>
        <v>82760228.055500001</v>
      </c>
      <c r="O128" s="328">
        <f t="shared" si="418"/>
        <v>55668811.155500002</v>
      </c>
      <c r="P128" s="70"/>
      <c r="Q128" s="328">
        <f>+Q125+Q118+Q107+Q98+Q95+Q79</f>
        <v>56952430.943000004</v>
      </c>
      <c r="R128" s="328">
        <f t="shared" ref="R128:BK128" si="419">+R125+R118+R107+R98+R95+R79</f>
        <v>52806576.843000002</v>
      </c>
      <c r="S128" s="328">
        <f t="shared" si="419"/>
        <v>52442354.642999999</v>
      </c>
      <c r="T128" s="328">
        <f t="shared" si="419"/>
        <v>58592481.943000004</v>
      </c>
      <c r="U128" s="328">
        <f t="shared" si="419"/>
        <v>53447824.943000004</v>
      </c>
      <c r="V128" s="328">
        <f t="shared" si="419"/>
        <v>51103401.443000004</v>
      </c>
      <c r="W128" s="328">
        <f t="shared" si="419"/>
        <v>48032339.699000001</v>
      </c>
      <c r="X128" s="328">
        <f t="shared" si="419"/>
        <v>53348838.949000001</v>
      </c>
      <c r="Y128" s="328">
        <f t="shared" si="419"/>
        <v>49949379.854000002</v>
      </c>
      <c r="Z128" s="328">
        <f>+Z125+Z118+Z107+Z98+Z95+Z79</f>
        <v>48569633.153999999</v>
      </c>
      <c r="AA128" s="328">
        <f>+AA125+AA118+AA107+AA98+AA95+AA79</f>
        <v>43060351.554000005</v>
      </c>
      <c r="AB128" s="328">
        <f>+AB125+AB118+AB107+AB98+AB95+AB79</f>
        <v>38109684.454000004</v>
      </c>
      <c r="AC128" s="70"/>
      <c r="AD128" s="328">
        <f t="shared" si="419"/>
        <v>30887356.614</v>
      </c>
      <c r="AE128" s="101">
        <f t="shared" si="419"/>
        <v>56512073.030000001</v>
      </c>
      <c r="AF128" s="101">
        <f t="shared" si="419"/>
        <v>59717224.519999996</v>
      </c>
      <c r="AG128" s="101">
        <f t="shared" si="419"/>
        <v>48151317.969999999</v>
      </c>
      <c r="AH128" s="101">
        <f t="shared" si="419"/>
        <v>51570357.230000004</v>
      </c>
      <c r="AI128" s="101">
        <f t="shared" si="419"/>
        <v>52128020.670000002</v>
      </c>
      <c r="AJ128" s="101">
        <f t="shared" si="419"/>
        <v>90815506.019999996</v>
      </c>
      <c r="AK128" s="101">
        <f t="shared" si="419"/>
        <v>85828258.899999991</v>
      </c>
      <c r="AL128" s="101">
        <f t="shared" si="419"/>
        <v>72804449.049999997</v>
      </c>
      <c r="AM128" s="101">
        <f t="shared" si="419"/>
        <v>75379246.719999984</v>
      </c>
      <c r="AN128" s="101">
        <f t="shared" si="419"/>
        <v>44477471.730000004</v>
      </c>
      <c r="AO128" s="101">
        <f t="shared" si="419"/>
        <v>40396482</v>
      </c>
      <c r="AP128" s="95"/>
      <c r="AQ128" s="328">
        <f t="shared" si="419"/>
        <v>40696637.658759996</v>
      </c>
      <c r="AR128" s="328">
        <f t="shared" si="419"/>
        <v>15195216.451200001</v>
      </c>
      <c r="AS128" s="328">
        <f t="shared" si="419"/>
        <v>54675549.281199999</v>
      </c>
      <c r="AT128" s="328">
        <f t="shared" si="419"/>
        <v>53621198.141780004</v>
      </c>
      <c r="AU128" s="328">
        <f t="shared" si="419"/>
        <v>32230702.94122</v>
      </c>
      <c r="AV128" s="328">
        <f t="shared" si="419"/>
        <v>21892978.158</v>
      </c>
      <c r="AW128" s="328">
        <f t="shared" si="419"/>
        <v>21410785.609999999</v>
      </c>
      <c r="AX128" s="328">
        <f t="shared" si="419"/>
        <v>21691008.609999999</v>
      </c>
      <c r="AY128" s="328">
        <f t="shared" si="419"/>
        <v>21932263.609999999</v>
      </c>
      <c r="AZ128" s="328">
        <f t="shared" si="419"/>
        <v>18319381.609999999</v>
      </c>
      <c r="BA128" s="328">
        <f t="shared" si="419"/>
        <v>17290818</v>
      </c>
      <c r="BB128" s="328">
        <f t="shared" si="419"/>
        <v>19019363.440000001</v>
      </c>
      <c r="BC128" s="95"/>
      <c r="BD128" s="328">
        <f t="shared" si="419"/>
        <v>22240066.160666667</v>
      </c>
      <c r="BE128" s="101">
        <f t="shared" si="419"/>
        <v>0</v>
      </c>
      <c r="BF128" s="101">
        <f t="shared" si="419"/>
        <v>0</v>
      </c>
      <c r="BG128" s="101">
        <f t="shared" si="419"/>
        <v>0</v>
      </c>
      <c r="BH128" s="101">
        <f t="shared" si="419"/>
        <v>0</v>
      </c>
      <c r="BI128" s="101">
        <f t="shared" si="419"/>
        <v>0</v>
      </c>
      <c r="BJ128" s="87"/>
      <c r="BK128" s="328">
        <f t="shared" si="419"/>
        <v>0</v>
      </c>
    </row>
    <row r="129" spans="1:66" ht="13.5" thickTop="1">
      <c r="A129" s="70"/>
      <c r="B129" s="184"/>
      <c r="C129" s="70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70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  <c r="AC129" s="70"/>
      <c r="AD129" s="184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184"/>
      <c r="AR129" s="184"/>
      <c r="AS129" s="184"/>
      <c r="AT129" s="184"/>
      <c r="AU129" s="184"/>
      <c r="AV129" s="184"/>
      <c r="AW129" s="184"/>
      <c r="AX129" s="184"/>
      <c r="AY129" s="184"/>
      <c r="AZ129" s="184"/>
      <c r="BA129" s="184"/>
      <c r="BB129" s="184"/>
      <c r="BC129" s="184"/>
      <c r="BD129" s="184"/>
      <c r="BE129" s="184"/>
      <c r="BF129" s="184"/>
      <c r="BG129" s="184"/>
      <c r="BH129" s="184"/>
      <c r="BI129" s="184"/>
      <c r="BJ129" s="184"/>
      <c r="BK129" s="184"/>
    </row>
    <row r="130" spans="1:66" ht="13.5" thickBot="1">
      <c r="A130" s="74" t="s">
        <v>240</v>
      </c>
      <c r="B130" s="185"/>
      <c r="C130" s="74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74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74"/>
      <c r="AD130" s="185"/>
      <c r="AE130" s="185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4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4"/>
      <c r="BD130" s="185"/>
      <c r="BE130" s="185"/>
      <c r="BF130" s="185"/>
      <c r="BG130" s="185"/>
      <c r="BH130" s="185"/>
      <c r="BI130" s="185"/>
      <c r="BJ130" s="65"/>
      <c r="BK130" s="185"/>
    </row>
    <row r="131" spans="1:66" ht="13.5" thickTop="1">
      <c r="A131" s="64" t="str">
        <f>+ESF!B40</f>
        <v>Capital Social</v>
      </c>
      <c r="B131" s="115">
        <v>2000000</v>
      </c>
      <c r="D131" s="115">
        <v>2000000</v>
      </c>
      <c r="E131" s="115">
        <v>2000000</v>
      </c>
      <c r="F131" s="115">
        <v>2000000</v>
      </c>
      <c r="G131" s="115">
        <v>2000000</v>
      </c>
      <c r="H131" s="115">
        <v>2000000</v>
      </c>
      <c r="I131" s="115">
        <v>2000000</v>
      </c>
      <c r="J131" s="115">
        <v>2000000</v>
      </c>
      <c r="K131" s="115">
        <v>2000000</v>
      </c>
      <c r="L131" s="115">
        <v>2000000</v>
      </c>
      <c r="M131" s="115">
        <v>2000000</v>
      </c>
      <c r="N131" s="115">
        <v>2000000</v>
      </c>
      <c r="O131" s="115">
        <v>2000000</v>
      </c>
      <c r="Q131" s="115">
        <v>2000000</v>
      </c>
      <c r="R131" s="115">
        <v>2000000</v>
      </c>
      <c r="S131" s="115">
        <v>2000000</v>
      </c>
      <c r="T131" s="115">
        <v>2000000</v>
      </c>
      <c r="U131" s="115">
        <v>2000000</v>
      </c>
      <c r="V131" s="115">
        <v>2000000</v>
      </c>
      <c r="W131" s="115">
        <v>2000000</v>
      </c>
      <c r="X131" s="115">
        <v>2000000</v>
      </c>
      <c r="Y131" s="115">
        <v>2000000</v>
      </c>
      <c r="Z131" s="115">
        <v>2000000</v>
      </c>
      <c r="AA131" s="115">
        <v>2000000</v>
      </c>
      <c r="AB131" s="115">
        <v>2000000</v>
      </c>
      <c r="AD131" s="115">
        <v>2000000</v>
      </c>
      <c r="AE131" s="115">
        <v>2000000</v>
      </c>
      <c r="AF131" s="115">
        <v>2000000</v>
      </c>
      <c r="AG131" s="115">
        <v>2000000</v>
      </c>
      <c r="AH131" s="115">
        <v>2000000</v>
      </c>
      <c r="AI131" s="115">
        <v>2000000</v>
      </c>
      <c r="AJ131" s="115">
        <v>2000000</v>
      </c>
      <c r="AK131" s="115">
        <v>2000000</v>
      </c>
      <c r="AL131" s="115">
        <v>2000000</v>
      </c>
      <c r="AM131" s="115">
        <v>2000000</v>
      </c>
      <c r="AN131" s="115">
        <v>2000000</v>
      </c>
      <c r="AO131" s="115">
        <v>2000000</v>
      </c>
      <c r="AP131" s="86"/>
      <c r="AQ131" s="115">
        <v>2000000</v>
      </c>
      <c r="AR131" s="149">
        <v>2000000</v>
      </c>
      <c r="AS131" s="149">
        <v>2000000</v>
      </c>
      <c r="AT131" s="149">
        <v>2000000</v>
      </c>
      <c r="AU131" s="149">
        <v>2000000</v>
      </c>
      <c r="AV131" s="149">
        <v>2000000</v>
      </c>
      <c r="AW131" s="149">
        <v>2000000</v>
      </c>
      <c r="AX131" s="149">
        <v>2000000</v>
      </c>
      <c r="AY131" s="149">
        <v>2000000</v>
      </c>
      <c r="AZ131" s="149">
        <v>2000000</v>
      </c>
      <c r="BA131" s="149">
        <v>2000000</v>
      </c>
      <c r="BB131" s="115">
        <v>2000000</v>
      </c>
      <c r="BC131" s="86"/>
      <c r="BD131" s="108">
        <v>2000000</v>
      </c>
      <c r="BE131" s="115"/>
      <c r="BF131" s="115"/>
      <c r="BG131" s="115"/>
      <c r="BH131" s="115"/>
      <c r="BI131" s="115"/>
      <c r="BJ131" s="190"/>
      <c r="BK131" s="115">
        <v>2000000</v>
      </c>
    </row>
    <row r="132" spans="1:66" hidden="1">
      <c r="A132" s="64" t="str">
        <f>+ESF!B41</f>
        <v>Capital suscrito y Pagado</v>
      </c>
      <c r="B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  <c r="AN132" s="157"/>
      <c r="AO132" s="157"/>
      <c r="AP132" s="86"/>
      <c r="AQ132" s="157"/>
      <c r="AR132" s="151"/>
      <c r="AS132" s="151"/>
      <c r="AT132" s="151"/>
      <c r="AU132" s="151"/>
      <c r="AV132" s="151"/>
      <c r="AW132" s="151"/>
      <c r="AX132" s="151"/>
      <c r="AY132" s="151"/>
      <c r="AZ132" s="151"/>
      <c r="BA132" s="151"/>
      <c r="BB132" s="157"/>
      <c r="BC132" s="86"/>
      <c r="BD132" s="178"/>
      <c r="BE132" s="157"/>
      <c r="BF132" s="157"/>
      <c r="BG132" s="157"/>
      <c r="BH132" s="157"/>
      <c r="BI132" s="157"/>
      <c r="BJ132" s="190"/>
      <c r="BK132" s="157"/>
    </row>
    <row r="133" spans="1:66">
      <c r="A133" s="64" t="str">
        <f>+ESF!B42</f>
        <v>Reservas</v>
      </c>
      <c r="B133" s="144">
        <v>129048</v>
      </c>
      <c r="D133" s="144">
        <v>129048</v>
      </c>
      <c r="E133" s="144">
        <v>129048</v>
      </c>
      <c r="F133" s="144">
        <v>129048</v>
      </c>
      <c r="G133" s="144">
        <v>129048</v>
      </c>
      <c r="H133" s="144">
        <v>129048</v>
      </c>
      <c r="I133" s="144">
        <v>129048</v>
      </c>
      <c r="J133" s="144">
        <v>129048</v>
      </c>
      <c r="K133" s="144">
        <v>129048</v>
      </c>
      <c r="L133" s="144">
        <v>129048</v>
      </c>
      <c r="M133" s="144">
        <v>129048</v>
      </c>
      <c r="N133" s="144">
        <v>129048</v>
      </c>
      <c r="O133" s="144">
        <v>129048</v>
      </c>
      <c r="Q133" s="144">
        <v>129048</v>
      </c>
      <c r="R133" s="144">
        <v>129048</v>
      </c>
      <c r="S133" s="144">
        <v>129048</v>
      </c>
      <c r="T133" s="144">
        <v>129048</v>
      </c>
      <c r="U133" s="144">
        <v>129048</v>
      </c>
      <c r="V133" s="144">
        <v>129048</v>
      </c>
      <c r="W133" s="144">
        <v>129048</v>
      </c>
      <c r="X133" s="144">
        <v>129048</v>
      </c>
      <c r="Y133" s="144">
        <v>129048</v>
      </c>
      <c r="Z133" s="144">
        <v>129048</v>
      </c>
      <c r="AA133" s="144">
        <v>129048</v>
      </c>
      <c r="AB133" s="144">
        <v>129048</v>
      </c>
      <c r="AD133" s="144">
        <f>129048</f>
        <v>129048</v>
      </c>
      <c r="AE133" s="144">
        <f>+AF133</f>
        <v>117317</v>
      </c>
      <c r="AF133" s="144">
        <f t="shared" ref="AF133:AN133" si="420">+AG133</f>
        <v>117317</v>
      </c>
      <c r="AG133" s="144">
        <f t="shared" si="420"/>
        <v>117317</v>
      </c>
      <c r="AH133" s="144">
        <f t="shared" si="420"/>
        <v>117317</v>
      </c>
      <c r="AI133" s="144">
        <f t="shared" si="420"/>
        <v>117317</v>
      </c>
      <c r="AJ133" s="144">
        <f t="shared" si="420"/>
        <v>117317</v>
      </c>
      <c r="AK133" s="144">
        <f t="shared" si="420"/>
        <v>117317</v>
      </c>
      <c r="AL133" s="144">
        <f t="shared" si="420"/>
        <v>117317</v>
      </c>
      <c r="AM133" s="144">
        <f t="shared" si="420"/>
        <v>117317</v>
      </c>
      <c r="AN133" s="144">
        <f t="shared" si="420"/>
        <v>117317</v>
      </c>
      <c r="AO133" s="144">
        <v>117317</v>
      </c>
      <c r="AP133" s="86"/>
      <c r="AQ133" s="144">
        <f>+(BD134)*10%</f>
        <v>106651.5</v>
      </c>
      <c r="AR133" s="158">
        <v>106651.5</v>
      </c>
      <c r="AS133" s="158">
        <v>106651.5</v>
      </c>
      <c r="AT133" s="158">
        <v>106651.5</v>
      </c>
      <c r="AU133" s="158">
        <v>106651.5</v>
      </c>
      <c r="AV133" s="158">
        <v>106651.5</v>
      </c>
      <c r="AW133" s="158">
        <v>106651.5</v>
      </c>
      <c r="AX133" s="158">
        <v>106651.5</v>
      </c>
      <c r="AY133" s="158">
        <v>106651.5</v>
      </c>
      <c r="AZ133" s="158">
        <v>106651.5</v>
      </c>
      <c r="BA133" s="158">
        <v>106651.5</v>
      </c>
      <c r="BB133" s="144"/>
      <c r="BC133" s="86"/>
      <c r="BD133" s="117">
        <v>0</v>
      </c>
      <c r="BE133" s="144"/>
      <c r="BF133" s="144"/>
      <c r="BG133" s="144"/>
      <c r="BH133" s="144"/>
      <c r="BI133" s="144"/>
      <c r="BJ133" s="190"/>
      <c r="BK133" s="144">
        <v>0</v>
      </c>
    </row>
    <row r="134" spans="1:66">
      <c r="A134" s="64" t="str">
        <f>+ESF!B45</f>
        <v>Resultado del ejercicio</v>
      </c>
      <c r="B134" s="157">
        <f>+'NOTAS ERI'!N179</f>
        <v>-7746505</v>
      </c>
      <c r="D134" s="157">
        <f t="shared" ref="D134:N134" si="421">+$Q$134+$Q$135</f>
        <v>15274235.876520051</v>
      </c>
      <c r="E134" s="157">
        <f t="shared" si="421"/>
        <v>15274235.876520051</v>
      </c>
      <c r="F134" s="157">
        <f t="shared" si="421"/>
        <v>15274235.876520051</v>
      </c>
      <c r="G134" s="157">
        <f t="shared" si="421"/>
        <v>15274235.876520051</v>
      </c>
      <c r="H134" s="157">
        <f t="shared" si="421"/>
        <v>15274235.876520051</v>
      </c>
      <c r="I134" s="157">
        <f t="shared" si="421"/>
        <v>15274235.876520051</v>
      </c>
      <c r="J134" s="157">
        <f t="shared" si="421"/>
        <v>15274235.876520051</v>
      </c>
      <c r="K134" s="157">
        <f t="shared" si="421"/>
        <v>15274235.876520051</v>
      </c>
      <c r="L134" s="157">
        <f t="shared" si="421"/>
        <v>15274235.876520051</v>
      </c>
      <c r="M134" s="157">
        <f t="shared" si="421"/>
        <v>15274235.876520051</v>
      </c>
      <c r="N134" s="157">
        <f t="shared" si="421"/>
        <v>15274235.876520051</v>
      </c>
      <c r="O134" s="157">
        <f>+Q134+Q135</f>
        <v>15274235.876520051</v>
      </c>
      <c r="Q134" s="157">
        <f>+ESF!U45</f>
        <v>8216592.2669999991</v>
      </c>
      <c r="R134" s="157">
        <f>+ESF!V45</f>
        <v>6650062.3669999996</v>
      </c>
      <c r="S134" s="157">
        <f>+ESF!W45</f>
        <v>4866090.5669999998</v>
      </c>
      <c r="T134" s="157">
        <f>+ESF!X45</f>
        <v>3498580.2669999995</v>
      </c>
      <c r="U134" s="157">
        <f>+ESF!Y45</f>
        <v>3214748.0169999995</v>
      </c>
      <c r="V134" s="157">
        <f>+ESF!Z45</f>
        <v>2296135.5169999995</v>
      </c>
      <c r="W134" s="157">
        <f>+ESF!AA45</f>
        <v>542079.42099999962</v>
      </c>
      <c r="X134" s="157">
        <f>+ESF!AB45</f>
        <v>953136.17099999962</v>
      </c>
      <c r="Y134" s="157">
        <f>+ESF!AC45</f>
        <v>153512.44999999972</v>
      </c>
      <c r="Z134" s="157">
        <f>+ESF!AD45</f>
        <v>1460856.15</v>
      </c>
      <c r="AA134" s="157">
        <f>+ESF!AE45</f>
        <v>459221.75</v>
      </c>
      <c r="AB134" s="157">
        <f>+ESF!AF45</f>
        <v>1130992.8500000001</v>
      </c>
      <c r="AD134" s="157">
        <f>+ERI!AU51</f>
        <v>5828900.1160000004</v>
      </c>
      <c r="AE134" s="157">
        <f>+AF134+ERI!AW51</f>
        <v>9929259.6399999987</v>
      </c>
      <c r="AF134" s="157">
        <f>+AG134+ERI!AX51</f>
        <v>8668729.7199999988</v>
      </c>
      <c r="AG134" s="157">
        <f>+AH134+ERI!AY51</f>
        <v>3595128.7199999997</v>
      </c>
      <c r="AH134" s="157">
        <f>+AI134+ERI!AZ51</f>
        <v>7061106.7199999997</v>
      </c>
      <c r="AI134" s="157">
        <f>+AJ134+ERI!BA51</f>
        <v>8009431.8599999994</v>
      </c>
      <c r="AJ134" s="157">
        <f>+AK134+ERI!BB51</f>
        <v>8816965.8599999994</v>
      </c>
      <c r="AK134" s="157">
        <f>+AL134+ERI!BC51</f>
        <v>9048605.8599999994</v>
      </c>
      <c r="AL134" s="157">
        <f>+AM134+ERI!BD51</f>
        <v>-26187562.140000001</v>
      </c>
      <c r="AM134" s="157">
        <f>+AN134+ERI!BE51</f>
        <v>-23085128.870000001</v>
      </c>
      <c r="AN134" s="157">
        <f>+AO134+ERI!BF51</f>
        <v>-11531481.780000001</v>
      </c>
      <c r="AO134" s="157">
        <f>+ERI!BG51</f>
        <v>-6522272</v>
      </c>
      <c r="AP134" s="86"/>
      <c r="AQ134" s="157">
        <f>+ERI!BI51</f>
        <v>290436.49352005124</v>
      </c>
      <c r="AR134" s="151">
        <f>+'NOTAS ERI'!BH179</f>
        <v>-5354177.4512000009</v>
      </c>
      <c r="AS134" s="151">
        <f>+'NOTAS ERI'!BI179</f>
        <v>-5366628.4512000009</v>
      </c>
      <c r="AT134" s="151">
        <f>+'NOTAS ERI'!BJ179</f>
        <v>9843075.6882199999</v>
      </c>
      <c r="AU134" s="151">
        <f>+'NOTAS ERI'!BK179</f>
        <v>6161651.3187800003</v>
      </c>
      <c r="AV134" s="151">
        <f>+'NOTAS ERI'!BL179</f>
        <v>-861300.54799999995</v>
      </c>
      <c r="AW134" s="151">
        <f>+'NOTAS ERI'!BM179</f>
        <v>-166055</v>
      </c>
      <c r="AX134" s="151">
        <f>+'NOTAS ERI'!BN175</f>
        <v>-233225</v>
      </c>
      <c r="AY134" s="151">
        <f>+'NOTAS ERI'!BO175</f>
        <v>338745</v>
      </c>
      <c r="AZ134" s="151">
        <f>+'NOTAS ERI'!BP175</f>
        <v>2369930</v>
      </c>
      <c r="BA134" s="151">
        <f>+'NOTAS ERI'!BQ179</f>
        <v>484624</v>
      </c>
      <c r="BB134" s="157">
        <f>+'NOTAS ERI'!BR179</f>
        <v>-2228028.44</v>
      </c>
      <c r="BC134" s="86"/>
      <c r="BD134" s="178">
        <f>+ERI!BW51</f>
        <v>1066515</v>
      </c>
      <c r="BE134" s="157"/>
      <c r="BF134" s="157"/>
      <c r="BG134" s="157"/>
      <c r="BH134" s="157"/>
      <c r="BI134" s="157"/>
      <c r="BJ134" s="190"/>
      <c r="BK134" s="157">
        <v>0</v>
      </c>
    </row>
    <row r="135" spans="1:66" ht="13.5" thickBot="1">
      <c r="A135" s="64" t="str">
        <f>+ESF!B44</f>
        <v>Resultado de ejercicios anteriores</v>
      </c>
      <c r="B135" s="173">
        <f>+D134+D135</f>
        <v>47201867.918020055</v>
      </c>
      <c r="D135" s="173">
        <f>+'NOTAS ERI'!Q179+E135</f>
        <v>31927632.041500002</v>
      </c>
      <c r="E135" s="173">
        <f>+'NOTAS ERI'!R179+F135</f>
        <v>25819078.291500002</v>
      </c>
      <c r="F135" s="173">
        <f>+'NOTAS ERI'!S179+G135</f>
        <v>18292155.641500004</v>
      </c>
      <c r="G135" s="173">
        <f>+'NOTAS ERI'!T179+H135</f>
        <v>8635424.7915000021</v>
      </c>
      <c r="H135" s="173">
        <f>+'NOTAS ERI'!U179+I135</f>
        <v>-1915776.2584999995</v>
      </c>
      <c r="I135" s="173">
        <f>+'NOTAS ERI'!V179+J135</f>
        <v>-4678299.4440000011</v>
      </c>
      <c r="J135" s="173">
        <f>+'NOTAS ERI'!W179+K135</f>
        <v>-5461225.0940000014</v>
      </c>
      <c r="K135" s="173">
        <f>+'NOTAS ERI'!X179+L135</f>
        <v>-6347508.5440000016</v>
      </c>
      <c r="L135" s="173">
        <f>+'NOTAS ERI'!Y179+M135</f>
        <v>-5363060.7940000016</v>
      </c>
      <c r="M135" s="173">
        <f>+'NOTAS ERI'!Z179+N135</f>
        <v>-4929422.3940000013</v>
      </c>
      <c r="N135" s="173">
        <f>+'NOTAS ERI'!AA179+O135</f>
        <v>-7076854.3625000007</v>
      </c>
      <c r="O135" s="173">
        <f>+'NOTAS ERI'!AB179</f>
        <v>-4014765.4624999999</v>
      </c>
      <c r="Q135" s="173">
        <f>+R135</f>
        <v>7057643.6095200516</v>
      </c>
      <c r="R135" s="173">
        <f>+S135</f>
        <v>7057643.6095200516</v>
      </c>
      <c r="S135" s="173">
        <f>+T135</f>
        <v>7057643.6095200516</v>
      </c>
      <c r="T135" s="173">
        <f>+U135</f>
        <v>7057643.6095200516</v>
      </c>
      <c r="U135" s="173">
        <f t="shared" ref="U135:AA135" si="422">+V135</f>
        <v>7057643.6095200516</v>
      </c>
      <c r="V135" s="173">
        <f t="shared" si="422"/>
        <v>7057643.6095200516</v>
      </c>
      <c r="W135" s="173">
        <f t="shared" si="422"/>
        <v>7057643.6095200516</v>
      </c>
      <c r="X135" s="173">
        <f t="shared" si="422"/>
        <v>7057643.6095200516</v>
      </c>
      <c r="Y135" s="173">
        <f t="shared" si="422"/>
        <v>7057643.6095200516</v>
      </c>
      <c r="Z135" s="173">
        <f t="shared" si="422"/>
        <v>7057643.6095200516</v>
      </c>
      <c r="AA135" s="173">
        <f t="shared" si="422"/>
        <v>7057643.6095200516</v>
      </c>
      <c r="AB135" s="173">
        <f>+AD134+AD135</f>
        <v>7057643.6095200516</v>
      </c>
      <c r="AD135" s="173">
        <f>+AQ133+AQ134+AQ135-AD133</f>
        <v>1228743.4935200512</v>
      </c>
      <c r="AE135" s="173">
        <v>1114604.8441679999</v>
      </c>
      <c r="AF135" s="173">
        <v>1114604.8441679999</v>
      </c>
      <c r="AG135" s="173">
        <v>1114604.8441679999</v>
      </c>
      <c r="AH135" s="173">
        <v>1114604.8441679999</v>
      </c>
      <c r="AI135" s="173">
        <v>1114604.8441679999</v>
      </c>
      <c r="AJ135" s="173">
        <f t="shared" ref="AJ135:AN135" si="423">+AK135</f>
        <v>1240474.4935200512</v>
      </c>
      <c r="AK135" s="173">
        <f t="shared" si="423"/>
        <v>1240474.4935200512</v>
      </c>
      <c r="AL135" s="173">
        <f t="shared" si="423"/>
        <v>1240474.4935200512</v>
      </c>
      <c r="AM135" s="173">
        <f t="shared" si="423"/>
        <v>1240474.4935200512</v>
      </c>
      <c r="AN135" s="173">
        <f t="shared" si="423"/>
        <v>1240474.4935200512</v>
      </c>
      <c r="AO135" s="173">
        <f>+AQ134+AQ135-AO133+AQ133</f>
        <v>1240474.4935200512</v>
      </c>
      <c r="AP135" s="86"/>
      <c r="AQ135" s="173">
        <f>+BD134-AQ133+840</f>
        <v>960703.5</v>
      </c>
      <c r="AR135" s="173">
        <v>960703.5</v>
      </c>
      <c r="AS135" s="173">
        <v>960703.5</v>
      </c>
      <c r="AT135" s="173">
        <v>960703.5</v>
      </c>
      <c r="AU135" s="173">
        <v>960703.5</v>
      </c>
      <c r="AV135" s="173">
        <v>960703.5</v>
      </c>
      <c r="AW135" s="173">
        <v>960703.5</v>
      </c>
      <c r="AX135" s="173">
        <v>960703.5</v>
      </c>
      <c r="AY135" s="173">
        <v>960703.5</v>
      </c>
      <c r="AZ135" s="173">
        <v>960703.5</v>
      </c>
      <c r="BA135" s="173">
        <v>960703.5</v>
      </c>
      <c r="BB135" s="173">
        <f>+BD134</f>
        <v>1066515</v>
      </c>
      <c r="BC135" s="86"/>
      <c r="BD135" s="110">
        <v>0</v>
      </c>
      <c r="BE135" s="173"/>
      <c r="BF135" s="173"/>
      <c r="BG135" s="173"/>
      <c r="BH135" s="173"/>
      <c r="BI135" s="173"/>
      <c r="BJ135" s="65"/>
      <c r="BK135" s="173">
        <v>0</v>
      </c>
    </row>
    <row r="136" spans="1:66" ht="14.25" thickTop="1" thickBot="1">
      <c r="A136" s="70" t="s">
        <v>241</v>
      </c>
      <c r="B136" s="328">
        <f t="shared" ref="B136:D136" si="424">SUM(B131:B135)</f>
        <v>41584410.918020055</v>
      </c>
      <c r="C136" s="511"/>
      <c r="D136" s="328">
        <f t="shared" si="424"/>
        <v>49330915.918020055</v>
      </c>
      <c r="E136" s="328">
        <f t="shared" ref="E136:F136" si="425">SUM(E131:E135)</f>
        <v>43222362.168020055</v>
      </c>
      <c r="F136" s="328">
        <f t="shared" si="425"/>
        <v>35695439.518020056</v>
      </c>
      <c r="G136" s="328">
        <f t="shared" ref="G136:H136" si="426">SUM(G131:G135)</f>
        <v>26038708.668020055</v>
      </c>
      <c r="H136" s="328">
        <f t="shared" si="426"/>
        <v>15487507.618020054</v>
      </c>
      <c r="I136" s="328">
        <f t="shared" ref="I136:O136" si="427">SUM(I131:I135)</f>
        <v>12724984.432520051</v>
      </c>
      <c r="J136" s="328">
        <f t="shared" si="427"/>
        <v>11942058.782520052</v>
      </c>
      <c r="K136" s="328">
        <f t="shared" si="427"/>
        <v>11055775.332520051</v>
      </c>
      <c r="L136" s="328">
        <f t="shared" si="427"/>
        <v>12040223.082520051</v>
      </c>
      <c r="M136" s="328">
        <f t="shared" si="427"/>
        <v>12473861.482520051</v>
      </c>
      <c r="N136" s="328">
        <f t="shared" si="427"/>
        <v>10326429.514020052</v>
      </c>
      <c r="O136" s="328">
        <f t="shared" si="427"/>
        <v>13388518.414020052</v>
      </c>
      <c r="P136" s="511"/>
      <c r="Q136" s="512">
        <f>SUM(Q131:Q135)</f>
        <v>17403283.876520053</v>
      </c>
      <c r="R136" s="328">
        <f>SUM(R131:R135)</f>
        <v>15836753.97652005</v>
      </c>
      <c r="S136" s="328">
        <f>SUM(S131:S135)</f>
        <v>14052782.176520051</v>
      </c>
      <c r="T136" s="328">
        <f>SUM(T131:T135)</f>
        <v>12685271.876520051</v>
      </c>
      <c r="U136" s="328">
        <f t="shared" ref="U136" si="428">SUM(U131:U135)</f>
        <v>12401439.626520051</v>
      </c>
      <c r="V136" s="328">
        <f t="shared" ref="V136:W136" si="429">SUM(V131:V135)</f>
        <v>11482827.126520051</v>
      </c>
      <c r="W136" s="328">
        <f t="shared" si="429"/>
        <v>9728771.0305200517</v>
      </c>
      <c r="X136" s="328">
        <f t="shared" ref="X136" si="430">SUM(X131:X135)</f>
        <v>10139827.780520052</v>
      </c>
      <c r="Y136" s="328">
        <f t="shared" ref="Y136" si="431">SUM(Y131:Y135)</f>
        <v>9340204.0595200509</v>
      </c>
      <c r="Z136" s="328">
        <f t="shared" ref="Z136" si="432">SUM(Z131:Z135)</f>
        <v>10647547.759520052</v>
      </c>
      <c r="AA136" s="328">
        <f t="shared" ref="AA136" si="433">SUM(AA131:AA135)</f>
        <v>9645913.3595200516</v>
      </c>
      <c r="AB136" s="328">
        <f t="shared" ref="AB136" si="434">SUM(AB131:AB135)</f>
        <v>10317684.459520051</v>
      </c>
      <c r="AC136" s="70"/>
      <c r="AD136" s="328">
        <f>SUM(AD131:AD135)</f>
        <v>9186691.6095200516</v>
      </c>
      <c r="AE136" s="101">
        <f t="shared" ref="AE136:AK136" si="435">SUM(AE131:AE135)</f>
        <v>13161181.484167999</v>
      </c>
      <c r="AF136" s="101">
        <f t="shared" si="435"/>
        <v>11900651.564167999</v>
      </c>
      <c r="AG136" s="101">
        <f t="shared" si="435"/>
        <v>6827050.5641679997</v>
      </c>
      <c r="AH136" s="101">
        <f t="shared" si="435"/>
        <v>10293028.564167999</v>
      </c>
      <c r="AI136" s="101">
        <f t="shared" si="435"/>
        <v>11241353.704167999</v>
      </c>
      <c r="AJ136" s="101">
        <f t="shared" si="435"/>
        <v>12174757.353520051</v>
      </c>
      <c r="AK136" s="101">
        <f t="shared" si="435"/>
        <v>12406397.353520051</v>
      </c>
      <c r="AL136" s="101">
        <f t="shared" ref="AL136:AM136" si="436">SUM(AL131:AL135)</f>
        <v>-22829770.646479949</v>
      </c>
      <c r="AM136" s="101">
        <f t="shared" si="436"/>
        <v>-19727337.37647995</v>
      </c>
      <c r="AN136" s="101">
        <f t="shared" ref="AN136:AO136" si="437">SUM(AN131:AN135)</f>
        <v>-8173690.28647995</v>
      </c>
      <c r="AO136" s="101">
        <f t="shared" si="437"/>
        <v>-3164480.5064799488</v>
      </c>
      <c r="AP136" s="95"/>
      <c r="AQ136" s="328">
        <f t="shared" ref="AQ136:AR136" si="438">SUM(AQ131:AQ135)</f>
        <v>3357791.4935200512</v>
      </c>
      <c r="AR136" s="328">
        <f t="shared" si="438"/>
        <v>-2286822.4512000009</v>
      </c>
      <c r="AS136" s="328">
        <f t="shared" ref="AS136:BA136" si="439">SUM(AS131:AS135)</f>
        <v>-2299273.4512000009</v>
      </c>
      <c r="AT136" s="328">
        <f t="shared" si="439"/>
        <v>12910430.68822</v>
      </c>
      <c r="AU136" s="328">
        <f t="shared" si="439"/>
        <v>9229006.3187800013</v>
      </c>
      <c r="AV136" s="328">
        <f t="shared" si="439"/>
        <v>2206054.452</v>
      </c>
      <c r="AW136" s="328">
        <f t="shared" si="439"/>
        <v>2901300</v>
      </c>
      <c r="AX136" s="328">
        <f t="shared" si="439"/>
        <v>2834130</v>
      </c>
      <c r="AY136" s="328">
        <f t="shared" si="439"/>
        <v>3406100</v>
      </c>
      <c r="AZ136" s="328">
        <f t="shared" si="439"/>
        <v>5437285</v>
      </c>
      <c r="BA136" s="328">
        <f t="shared" si="439"/>
        <v>3551979</v>
      </c>
      <c r="BB136" s="328">
        <f t="shared" ref="BB136" si="440">SUM(BB131:BB135)</f>
        <v>838486.56</v>
      </c>
      <c r="BC136" s="95"/>
      <c r="BD136" s="328">
        <f t="shared" ref="BD136:BI136" si="441">SUM(BD131:BD135)</f>
        <v>3066515</v>
      </c>
      <c r="BE136" s="101">
        <f t="shared" si="441"/>
        <v>0</v>
      </c>
      <c r="BF136" s="101">
        <f t="shared" si="441"/>
        <v>0</v>
      </c>
      <c r="BG136" s="101">
        <f t="shared" si="441"/>
        <v>0</v>
      </c>
      <c r="BH136" s="101">
        <f t="shared" si="441"/>
        <v>0</v>
      </c>
      <c r="BI136" s="101">
        <f t="shared" si="441"/>
        <v>0</v>
      </c>
      <c r="BJ136" s="87"/>
      <c r="BK136" s="328">
        <f>SUM(BK131:BK135)</f>
        <v>2000000</v>
      </c>
      <c r="BN136" s="492"/>
    </row>
    <row r="137" spans="1:66" ht="14.25" thickTop="1" thickBot="1">
      <c r="A137" s="140"/>
      <c r="B137" s="136"/>
      <c r="C137" s="140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40"/>
      <c r="Q137" s="136"/>
      <c r="R137" s="136"/>
      <c r="S137" s="136"/>
      <c r="AC137" s="140"/>
      <c r="AP137" s="188"/>
      <c r="BC137" s="188"/>
    </row>
    <row r="138" spans="1:66" ht="14.25" thickTop="1" thickBot="1">
      <c r="A138" s="70" t="s">
        <v>70</v>
      </c>
      <c r="B138" s="101">
        <f t="shared" ref="B138" si="442">+B136+B128</f>
        <v>140617311.81652004</v>
      </c>
      <c r="C138" s="511"/>
      <c r="D138" s="101">
        <f t="shared" ref="D138:E138" si="443">+D136+D128</f>
        <v>145864503.81652004</v>
      </c>
      <c r="E138" s="101">
        <f t="shared" si="443"/>
        <v>146653129.81652004</v>
      </c>
      <c r="F138" s="101">
        <f t="shared" ref="F138:G138" si="444">+F136+F128</f>
        <v>121349251.81652007</v>
      </c>
      <c r="G138" s="101">
        <f t="shared" si="444"/>
        <v>121624709.81652005</v>
      </c>
      <c r="H138" s="101">
        <f t="shared" ref="H138:I138" si="445">+H136+H128</f>
        <v>103689914.81652007</v>
      </c>
      <c r="I138" s="101">
        <f t="shared" si="445"/>
        <v>101294156.14652005</v>
      </c>
      <c r="J138" s="101">
        <f t="shared" ref="J138:O138" si="446">+J136+J128</f>
        <v>93443117.146520048</v>
      </c>
      <c r="K138" s="101">
        <f t="shared" si="446"/>
        <v>101923685.14652005</v>
      </c>
      <c r="L138" s="101">
        <f t="shared" si="446"/>
        <v>110824772.05952005</v>
      </c>
      <c r="M138" s="101">
        <f t="shared" si="446"/>
        <v>120488463.05952004</v>
      </c>
      <c r="N138" s="101">
        <f t="shared" si="446"/>
        <v>93086657.569520056</v>
      </c>
      <c r="O138" s="101">
        <f t="shared" si="446"/>
        <v>69057329.569520056</v>
      </c>
      <c r="P138" s="511"/>
      <c r="Q138" s="101">
        <f>+Q136+Q128</f>
        <v>74355714.819520056</v>
      </c>
      <c r="R138" s="101">
        <f>+R136+R128</f>
        <v>68643330.819520056</v>
      </c>
      <c r="S138" s="101">
        <f>+S136+S128</f>
        <v>66495136.819520049</v>
      </c>
      <c r="T138" s="101">
        <f>+T136+T128</f>
        <v>71277753.819520056</v>
      </c>
      <c r="U138" s="101">
        <f t="shared" ref="U138" si="447">+U136+U128</f>
        <v>65849264.569520056</v>
      </c>
      <c r="V138" s="101">
        <f t="shared" ref="V138:W138" si="448">+V136+V128</f>
        <v>62586228.569520056</v>
      </c>
      <c r="W138" s="101">
        <f t="shared" si="448"/>
        <v>57761110.729520053</v>
      </c>
      <c r="X138" s="101">
        <f t="shared" ref="X138" si="449">+X136+X128</f>
        <v>63488666.729520053</v>
      </c>
      <c r="Y138" s="101">
        <f t="shared" ref="Y138" si="450">+Y136+Y128</f>
        <v>59289583.913520053</v>
      </c>
      <c r="Z138" s="101">
        <f t="shared" ref="Z138" si="451">+Z136+Z128</f>
        <v>59217180.913520053</v>
      </c>
      <c r="AA138" s="101">
        <f t="shared" ref="AA138" si="452">+AA136+AA128</f>
        <v>52706264.913520053</v>
      </c>
      <c r="AB138" s="101">
        <f>+AB136+AB128</f>
        <v>48427368.913520053</v>
      </c>
      <c r="AC138" s="511"/>
      <c r="AD138" s="75">
        <f t="shared" ref="AD138:AE138" si="453">+AD136+AD128</f>
        <v>40074048.223520055</v>
      </c>
      <c r="AE138" s="101">
        <f t="shared" si="453"/>
        <v>69673254.514167994</v>
      </c>
      <c r="AF138" s="101">
        <f t="shared" ref="AF138:AG138" si="454">+AF136+AF128</f>
        <v>71617876.084167987</v>
      </c>
      <c r="AG138" s="101">
        <f t="shared" si="454"/>
        <v>54978368.534167998</v>
      </c>
      <c r="AH138" s="101">
        <f t="shared" ref="AH138:AI138" si="455">+AH136+AH128</f>
        <v>61863385.794168003</v>
      </c>
      <c r="AI138" s="101">
        <f t="shared" si="455"/>
        <v>63369374.374168001</v>
      </c>
      <c r="AJ138" s="101">
        <f t="shared" ref="AJ138:AK138" si="456">+AJ136+AJ128</f>
        <v>102990263.37352005</v>
      </c>
      <c r="AK138" s="101">
        <f t="shared" si="456"/>
        <v>98234656.253520042</v>
      </c>
      <c r="AL138" s="101">
        <f t="shared" ref="AL138:AM138" si="457">+AL136+AL128</f>
        <v>49974678.403520048</v>
      </c>
      <c r="AM138" s="101">
        <f t="shared" si="457"/>
        <v>55651909.34352003</v>
      </c>
      <c r="AN138" s="101">
        <f t="shared" ref="AN138:AO138" si="458">+AN136+AN128</f>
        <v>36303781.443520054</v>
      </c>
      <c r="AO138" s="101">
        <f t="shared" si="458"/>
        <v>37232001.493520051</v>
      </c>
      <c r="AP138" s="95"/>
      <c r="AQ138" s="101">
        <f t="shared" ref="AQ138:AR138" si="459">+AQ136+AQ128</f>
        <v>44054429.152280048</v>
      </c>
      <c r="AR138" s="101">
        <f t="shared" si="459"/>
        <v>12908394</v>
      </c>
      <c r="AS138" s="101">
        <f t="shared" ref="AS138:AT138" si="460">+AS136+AS128</f>
        <v>52376275.829999998</v>
      </c>
      <c r="AT138" s="101">
        <f t="shared" si="460"/>
        <v>66531628.830000006</v>
      </c>
      <c r="AU138" s="101">
        <f t="shared" ref="AU138:AV138" si="461">+AU136+AU128</f>
        <v>41459709.260000005</v>
      </c>
      <c r="AV138" s="101">
        <f t="shared" si="461"/>
        <v>24099032.609999999</v>
      </c>
      <c r="AW138" s="101">
        <f t="shared" ref="AW138:AX138" si="462">+AW136+AW128</f>
        <v>24312085.609999999</v>
      </c>
      <c r="AX138" s="101">
        <f t="shared" si="462"/>
        <v>24525138.609999999</v>
      </c>
      <c r="AY138" s="101">
        <f t="shared" ref="AY138:AZ138" si="463">+AY136+AY128</f>
        <v>25338363.609999999</v>
      </c>
      <c r="AZ138" s="101">
        <f t="shared" si="463"/>
        <v>23756666.609999999</v>
      </c>
      <c r="BA138" s="101">
        <f t="shared" ref="BA138:BB138" si="464">+BA136+BA128</f>
        <v>20842797</v>
      </c>
      <c r="BB138" s="101">
        <f t="shared" si="464"/>
        <v>19857850</v>
      </c>
      <c r="BC138" s="95"/>
      <c r="BD138" s="101">
        <f t="shared" ref="BD138:BI138" si="465">+BD136+BD128</f>
        <v>25306581.160666667</v>
      </c>
      <c r="BE138" s="101">
        <f t="shared" si="465"/>
        <v>0</v>
      </c>
      <c r="BF138" s="101">
        <f t="shared" si="465"/>
        <v>0</v>
      </c>
      <c r="BG138" s="101">
        <f t="shared" si="465"/>
        <v>0</v>
      </c>
      <c r="BH138" s="101">
        <f t="shared" si="465"/>
        <v>0</v>
      </c>
      <c r="BI138" s="101">
        <f t="shared" si="465"/>
        <v>0</v>
      </c>
      <c r="BJ138" s="87"/>
      <c r="BK138" s="101">
        <f>+BK136+BK128</f>
        <v>2000000</v>
      </c>
    </row>
    <row r="139" spans="1:66" ht="13.5" thickTop="1">
      <c r="A139" s="63"/>
      <c r="B139" s="186"/>
      <c r="C139" s="63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63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63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</row>
    <row r="140" spans="1:66">
      <c r="A140" s="187"/>
      <c r="B140" s="135">
        <f t="shared" ref="B140" si="466">+B75-B138</f>
        <v>0</v>
      </c>
      <c r="C140" s="187"/>
      <c r="D140" s="135">
        <f t="shared" ref="D140:E140" si="467">+D75-D138</f>
        <v>0</v>
      </c>
      <c r="E140" s="135">
        <f t="shared" si="467"/>
        <v>0</v>
      </c>
      <c r="F140" s="135">
        <f t="shared" ref="F140:G140" si="468">+F75-F138</f>
        <v>0</v>
      </c>
      <c r="G140" s="135">
        <f t="shared" si="468"/>
        <v>0</v>
      </c>
      <c r="H140" s="135">
        <f t="shared" ref="H140:I140" si="469">+H75-H138</f>
        <v>0</v>
      </c>
      <c r="I140" s="135">
        <f t="shared" si="469"/>
        <v>0</v>
      </c>
      <c r="J140" s="135">
        <f t="shared" ref="J140:K140" si="470">+J75-J138</f>
        <v>0</v>
      </c>
      <c r="K140" s="135">
        <f t="shared" si="470"/>
        <v>0</v>
      </c>
      <c r="L140" s="135">
        <f t="shared" ref="L140:M140" si="471">+L75-L138</f>
        <v>0</v>
      </c>
      <c r="M140" s="135">
        <f t="shared" si="471"/>
        <v>0</v>
      </c>
      <c r="N140" s="135">
        <f t="shared" ref="N140:O140" si="472">+N75-N138</f>
        <v>0</v>
      </c>
      <c r="O140" s="135">
        <f t="shared" si="472"/>
        <v>0</v>
      </c>
      <c r="P140" s="187"/>
      <c r="Q140" s="135">
        <f t="shared" ref="Q140:AB140" si="473">+Q75-Q138</f>
        <v>0</v>
      </c>
      <c r="R140" s="135">
        <f t="shared" si="473"/>
        <v>0</v>
      </c>
      <c r="S140" s="135">
        <f t="shared" si="473"/>
        <v>0</v>
      </c>
      <c r="T140" s="135">
        <f t="shared" si="473"/>
        <v>0</v>
      </c>
      <c r="U140" s="135">
        <f t="shared" si="473"/>
        <v>0</v>
      </c>
      <c r="V140" s="135">
        <f t="shared" si="473"/>
        <v>0</v>
      </c>
      <c r="W140" s="135">
        <f t="shared" si="473"/>
        <v>0</v>
      </c>
      <c r="X140" s="135">
        <f t="shared" si="473"/>
        <v>0</v>
      </c>
      <c r="Y140" s="135">
        <f t="shared" si="473"/>
        <v>0</v>
      </c>
      <c r="Z140" s="135">
        <f t="shared" si="473"/>
        <v>0</v>
      </c>
      <c r="AA140" s="135">
        <f t="shared" si="473"/>
        <v>0</v>
      </c>
      <c r="AB140" s="135">
        <f t="shared" si="473"/>
        <v>0</v>
      </c>
      <c r="AC140" s="187"/>
      <c r="AD140" s="135">
        <f t="shared" ref="AD140:AO140" si="474">+AD75-AD138</f>
        <v>15737722.526479945</v>
      </c>
      <c r="AE140" s="135" t="e">
        <f t="shared" si="474"/>
        <v>#REF!</v>
      </c>
      <c r="AF140" s="135" t="e">
        <f t="shared" si="474"/>
        <v>#REF!</v>
      </c>
      <c r="AG140" s="135" t="e">
        <f t="shared" si="474"/>
        <v>#REF!</v>
      </c>
      <c r="AH140" s="135" t="e">
        <f t="shared" si="474"/>
        <v>#REF!</v>
      </c>
      <c r="AI140" s="135" t="e">
        <f t="shared" si="474"/>
        <v>#REF!</v>
      </c>
      <c r="AJ140" s="135" t="e">
        <f t="shared" si="474"/>
        <v>#REF!</v>
      </c>
      <c r="AK140" s="135" t="e">
        <f t="shared" si="474"/>
        <v>#REF!</v>
      </c>
      <c r="AL140" s="135" t="e">
        <f t="shared" si="474"/>
        <v>#REF!</v>
      </c>
      <c r="AM140" s="135" t="e">
        <f t="shared" si="474"/>
        <v>#REF!</v>
      </c>
      <c r="AN140" s="135" t="e">
        <f t="shared" si="474"/>
        <v>#REF!</v>
      </c>
      <c r="AO140" s="135" t="e">
        <f t="shared" si="474"/>
        <v>#REF!</v>
      </c>
      <c r="AQ140" s="135">
        <f t="shared" ref="AQ140:BB140" si="475">+AQ75-AQ138</f>
        <v>499999.99999994785</v>
      </c>
      <c r="AR140" s="135">
        <f t="shared" si="475"/>
        <v>-2380000</v>
      </c>
      <c r="AS140" s="135">
        <f t="shared" si="475"/>
        <v>-2380000</v>
      </c>
      <c r="AT140" s="135">
        <f t="shared" si="475"/>
        <v>-2380000.0000000075</v>
      </c>
      <c r="AU140" s="135">
        <f t="shared" si="475"/>
        <v>0</v>
      </c>
      <c r="AV140" s="135">
        <f t="shared" si="475"/>
        <v>0</v>
      </c>
      <c r="AW140" s="135">
        <f t="shared" si="475"/>
        <v>0</v>
      </c>
      <c r="AX140" s="135">
        <f t="shared" si="475"/>
        <v>0</v>
      </c>
      <c r="AY140" s="135">
        <f t="shared" si="475"/>
        <v>0</v>
      </c>
      <c r="AZ140" s="135">
        <f t="shared" si="475"/>
        <v>0</v>
      </c>
      <c r="BA140" s="135">
        <f t="shared" si="475"/>
        <v>0</v>
      </c>
      <c r="BB140" s="135">
        <f t="shared" si="475"/>
        <v>0</v>
      </c>
      <c r="BC140" s="189"/>
      <c r="BD140" s="135">
        <f t="shared" ref="BD140:BI140" si="476">+BD75-BD138</f>
        <v>3.3527612686157227E-8</v>
      </c>
      <c r="BE140" s="135">
        <f t="shared" si="476"/>
        <v>0</v>
      </c>
      <c r="BF140" s="135">
        <f t="shared" si="476"/>
        <v>0</v>
      </c>
      <c r="BG140" s="135">
        <f t="shared" si="476"/>
        <v>0</v>
      </c>
      <c r="BH140" s="135">
        <f t="shared" si="476"/>
        <v>0</v>
      </c>
      <c r="BI140" s="135">
        <f t="shared" si="476"/>
        <v>0</v>
      </c>
      <c r="BJ140" s="189"/>
      <c r="BK140" s="135" t="e">
        <f>+BK75-BK138</f>
        <v>#REF!</v>
      </c>
    </row>
    <row r="141" spans="1:66">
      <c r="A141" s="63"/>
      <c r="B141" s="186"/>
      <c r="C141" s="63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63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63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</row>
  </sheetData>
  <mergeCells count="3">
    <mergeCell ref="A2:BK2"/>
    <mergeCell ref="A3:BK3"/>
    <mergeCell ref="A4:BK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0000"/>
    <pageSetUpPr fitToPage="1"/>
  </sheetPr>
  <dimension ref="A1:CL183"/>
  <sheetViews>
    <sheetView showGridLines="0" topLeftCell="A154" zoomScaleNormal="100" zoomScaleSheetLayoutView="90" workbookViewId="0">
      <selection activeCell="N38" sqref="N38"/>
    </sheetView>
  </sheetViews>
  <sheetFormatPr baseColWidth="10" defaultColWidth="11.42578125" defaultRowHeight="12"/>
  <cols>
    <col min="1" max="1" width="47.42578125" style="64" bestFit="1" customWidth="1"/>
    <col min="2" max="13" width="15.5703125" style="65" hidden="1" customWidth="1"/>
    <col min="14" max="14" width="15.5703125" style="65" customWidth="1"/>
    <col min="15" max="15" width="1.7109375" style="64" customWidth="1"/>
    <col min="16" max="16" width="15.5703125" style="65" customWidth="1"/>
    <col min="17" max="24" width="12" style="65" hidden="1" customWidth="1"/>
    <col min="25" max="27" width="11.85546875" style="65" hidden="1" customWidth="1"/>
    <col min="28" max="28" width="1.5703125" style="65" hidden="1" customWidth="1"/>
    <col min="29" max="29" width="1.7109375" style="64" customWidth="1"/>
    <col min="30" max="30" width="16.28515625" style="65" customWidth="1"/>
    <col min="31" max="31" width="10.85546875" style="65" hidden="1" customWidth="1"/>
    <col min="32" max="33" width="9.7109375" style="65" hidden="1" customWidth="1"/>
    <col min="34" max="34" width="10.85546875" style="65" hidden="1" customWidth="1"/>
    <col min="35" max="36" width="9.7109375" style="65" hidden="1" customWidth="1"/>
    <col min="37" max="37" width="10.85546875" style="65" hidden="1" customWidth="1"/>
    <col min="38" max="38" width="12.5703125" style="65" hidden="1" customWidth="1"/>
    <col min="39" max="39" width="10.85546875" style="65" hidden="1" customWidth="1"/>
    <col min="40" max="40" width="10.7109375" style="65" hidden="1" customWidth="1"/>
    <col min="41" max="42" width="10.85546875" style="65" hidden="1" customWidth="1"/>
    <col min="43" max="43" width="1.7109375" style="64" customWidth="1"/>
    <col min="44" max="44" width="15.140625" style="64" customWidth="1"/>
    <col min="45" max="45" width="12.85546875" style="65" hidden="1" customWidth="1"/>
    <col min="46" max="46" width="12.42578125" style="65" hidden="1" customWidth="1"/>
    <col min="47" max="47" width="10.7109375" style="65" hidden="1" customWidth="1"/>
    <col min="48" max="56" width="11.140625" style="65" hidden="1" customWidth="1"/>
    <col min="57" max="57" width="1.7109375" style="65" hidden="1" customWidth="1"/>
    <col min="58" max="58" width="11.5703125" style="65" hidden="1" customWidth="1"/>
    <col min="59" max="70" width="12.5703125" style="65" hidden="1" customWidth="1"/>
    <col min="71" max="71" width="2.140625" style="65" hidden="1" customWidth="1"/>
    <col min="72" max="72" width="11.5703125" style="65" hidden="1" customWidth="1"/>
    <col min="73" max="76" width="15.140625" style="65" hidden="1" customWidth="1"/>
    <col min="77" max="78" width="14" style="65" hidden="1" customWidth="1"/>
    <col min="79" max="79" width="1.42578125" style="65" hidden="1" customWidth="1"/>
    <col min="80" max="80" width="11.5703125" style="65" hidden="1" customWidth="1"/>
    <col min="81" max="81" width="14.85546875" style="64" hidden="1" customWidth="1"/>
    <col min="82" max="82" width="24.140625" style="64" hidden="1" customWidth="1"/>
    <col min="83" max="84" width="14.85546875" style="64" customWidth="1"/>
    <col min="85" max="16384" width="11.42578125" style="64"/>
  </cols>
  <sheetData>
    <row r="1" spans="1:80" ht="15">
      <c r="A1" s="521" t="str">
        <f>+ESF!B2</f>
        <v>JELCOM SOLUCIONES EMPRESARIALES SAS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  <c r="AA1" s="521"/>
      <c r="AB1" s="521"/>
      <c r="AC1" s="521"/>
      <c r="AD1" s="521"/>
      <c r="AE1" s="521"/>
      <c r="AF1" s="521"/>
      <c r="AG1" s="521"/>
      <c r="AH1" s="521"/>
      <c r="AI1" s="521"/>
      <c r="AJ1" s="521"/>
      <c r="AK1" s="521"/>
      <c r="AL1" s="521"/>
      <c r="AM1" s="521"/>
      <c r="AN1" s="521"/>
      <c r="AO1" s="521"/>
      <c r="AP1" s="521"/>
      <c r="AQ1" s="521"/>
      <c r="AR1" s="521"/>
      <c r="AS1" s="521"/>
      <c r="AT1" s="521"/>
      <c r="AU1" s="521"/>
      <c r="AV1" s="521"/>
      <c r="AW1" s="521"/>
      <c r="AX1" s="521"/>
      <c r="AY1" s="521"/>
      <c r="AZ1" s="521"/>
      <c r="BA1" s="521"/>
      <c r="BB1" s="521"/>
      <c r="BC1" s="521"/>
      <c r="BD1" s="521"/>
      <c r="BE1" s="521"/>
      <c r="BF1" s="521"/>
      <c r="BG1" s="521"/>
      <c r="BH1" s="521"/>
      <c r="BI1" s="521"/>
      <c r="BJ1" s="521"/>
      <c r="BK1" s="521"/>
      <c r="BL1" s="521"/>
      <c r="BM1" s="521"/>
      <c r="BN1" s="521"/>
      <c r="BO1" s="521"/>
      <c r="BP1" s="521"/>
      <c r="BQ1" s="521"/>
      <c r="BR1" s="521"/>
      <c r="BS1" s="521"/>
      <c r="BT1" s="521"/>
      <c r="BU1" s="521"/>
      <c r="BV1" s="521"/>
      <c r="BW1" s="521"/>
      <c r="BX1" s="521"/>
      <c r="BY1" s="521"/>
      <c r="BZ1" s="521"/>
      <c r="CA1" s="521"/>
      <c r="CB1" s="521"/>
    </row>
    <row r="2" spans="1:80" ht="15">
      <c r="A2" s="522" t="s">
        <v>242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22"/>
      <c r="AL2" s="522"/>
      <c r="AM2" s="522"/>
      <c r="AN2" s="522"/>
      <c r="AO2" s="522"/>
      <c r="AP2" s="522"/>
      <c r="AQ2" s="522"/>
      <c r="AR2" s="522"/>
      <c r="AS2" s="522"/>
      <c r="AT2" s="522"/>
      <c r="AU2" s="522"/>
      <c r="AV2" s="522"/>
      <c r="AW2" s="522"/>
      <c r="AX2" s="522"/>
      <c r="AY2" s="522"/>
      <c r="AZ2" s="522"/>
      <c r="BA2" s="522"/>
      <c r="BB2" s="522"/>
      <c r="BC2" s="522"/>
      <c r="BD2" s="522"/>
      <c r="BE2" s="522"/>
      <c r="BF2" s="522"/>
      <c r="BG2" s="522"/>
      <c r="BH2" s="522"/>
      <c r="BI2" s="522"/>
      <c r="BJ2" s="522"/>
      <c r="BK2" s="522"/>
      <c r="BL2" s="522"/>
      <c r="BM2" s="522"/>
      <c r="BN2" s="522"/>
      <c r="BO2" s="522"/>
      <c r="BP2" s="522"/>
      <c r="BQ2" s="522"/>
      <c r="BR2" s="522"/>
      <c r="BS2" s="522"/>
      <c r="BT2" s="522"/>
      <c r="BU2" s="522"/>
      <c r="BV2" s="522"/>
      <c r="BW2" s="522"/>
      <c r="BX2" s="522"/>
      <c r="BY2" s="522"/>
      <c r="BZ2" s="522"/>
      <c r="CA2" s="522"/>
      <c r="CB2" s="522"/>
    </row>
    <row r="3" spans="1:80" ht="15">
      <c r="A3" s="521" t="s">
        <v>156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521"/>
      <c r="AK3" s="521"/>
      <c r="AL3" s="521"/>
      <c r="AM3" s="521"/>
      <c r="AN3" s="521"/>
      <c r="AO3" s="521"/>
      <c r="AP3" s="521"/>
      <c r="AQ3" s="521"/>
      <c r="AR3" s="521"/>
      <c r="AS3" s="521"/>
      <c r="AT3" s="521"/>
      <c r="AU3" s="521"/>
      <c r="AV3" s="521"/>
      <c r="AW3" s="521"/>
      <c r="AX3" s="521"/>
      <c r="AY3" s="521"/>
      <c r="AZ3" s="521"/>
      <c r="BA3" s="521"/>
      <c r="BB3" s="521"/>
      <c r="BC3" s="521"/>
      <c r="BD3" s="521"/>
      <c r="BE3" s="521"/>
      <c r="BF3" s="521"/>
      <c r="BG3" s="521"/>
      <c r="BH3" s="521"/>
      <c r="BI3" s="521"/>
      <c r="BJ3" s="521"/>
      <c r="BK3" s="521"/>
      <c r="BL3" s="521"/>
      <c r="BM3" s="521"/>
      <c r="BN3" s="521"/>
      <c r="BO3" s="521"/>
      <c r="BP3" s="521"/>
      <c r="BQ3" s="521"/>
      <c r="BR3" s="521"/>
      <c r="BS3" s="521"/>
      <c r="BT3" s="521"/>
      <c r="BU3" s="521"/>
      <c r="BV3" s="521"/>
      <c r="BW3" s="521"/>
      <c r="BX3" s="521"/>
      <c r="BY3" s="521"/>
      <c r="BZ3" s="521"/>
      <c r="CA3" s="521"/>
      <c r="CB3" s="521"/>
    </row>
    <row r="4" spans="1:80" ht="16.5" thickBot="1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</row>
    <row r="5" spans="1:80" s="62" customFormat="1" ht="12.75" customHeight="1">
      <c r="A5" s="524"/>
      <c r="B5" s="68">
        <v>2026</v>
      </c>
      <c r="C5" s="68">
        <v>2026</v>
      </c>
      <c r="D5" s="68">
        <v>2026</v>
      </c>
      <c r="E5" s="68">
        <v>2026</v>
      </c>
      <c r="F5" s="68">
        <v>2026</v>
      </c>
      <c r="G5" s="68">
        <v>2026</v>
      </c>
      <c r="H5" s="68">
        <v>2026</v>
      </c>
      <c r="I5" s="68">
        <v>2026</v>
      </c>
      <c r="J5" s="68">
        <v>2026</v>
      </c>
      <c r="K5" s="68">
        <v>2026</v>
      </c>
      <c r="L5" s="68">
        <v>2026</v>
      </c>
      <c r="M5" s="68">
        <v>2026</v>
      </c>
      <c r="N5" s="68">
        <v>2026</v>
      </c>
      <c r="O5" s="67"/>
      <c r="P5" s="68">
        <v>2025</v>
      </c>
      <c r="Q5" s="68">
        <v>2025</v>
      </c>
      <c r="R5" s="68">
        <v>2025</v>
      </c>
      <c r="S5" s="68">
        <v>2025</v>
      </c>
      <c r="T5" s="68">
        <v>2025</v>
      </c>
      <c r="U5" s="68">
        <v>2025</v>
      </c>
      <c r="V5" s="68">
        <v>2025</v>
      </c>
      <c r="W5" s="68">
        <v>2025</v>
      </c>
      <c r="X5" s="68">
        <v>2025</v>
      </c>
      <c r="Y5" s="68">
        <v>2025</v>
      </c>
      <c r="Z5" s="68">
        <v>2025</v>
      </c>
      <c r="AA5" s="68">
        <v>2025</v>
      </c>
      <c r="AB5" s="68">
        <v>2025</v>
      </c>
      <c r="AC5" s="67"/>
      <c r="AD5" s="68">
        <v>2024</v>
      </c>
      <c r="AE5" s="68">
        <v>2024</v>
      </c>
      <c r="AF5" s="68">
        <v>2024</v>
      </c>
      <c r="AG5" s="68">
        <v>2024</v>
      </c>
      <c r="AH5" s="68">
        <v>2024</v>
      </c>
      <c r="AI5" s="68">
        <v>2024</v>
      </c>
      <c r="AJ5" s="68">
        <v>2024</v>
      </c>
      <c r="AK5" s="68">
        <v>2024</v>
      </c>
      <c r="AL5" s="68">
        <v>2024</v>
      </c>
      <c r="AM5" s="68">
        <v>2024</v>
      </c>
      <c r="AN5" s="68">
        <v>2024</v>
      </c>
      <c r="AO5" s="68">
        <v>2024</v>
      </c>
      <c r="AP5" s="68">
        <v>2024</v>
      </c>
      <c r="AQ5" s="67"/>
      <c r="AR5" s="68">
        <v>2023</v>
      </c>
      <c r="AS5" s="68">
        <v>2023</v>
      </c>
      <c r="AT5" s="68">
        <v>2023</v>
      </c>
      <c r="AU5" s="68">
        <v>2023</v>
      </c>
      <c r="AV5" s="68">
        <v>2023</v>
      </c>
      <c r="AW5" s="68">
        <v>2023</v>
      </c>
      <c r="AX5" s="68">
        <v>2023</v>
      </c>
      <c r="AY5" s="68">
        <v>2023</v>
      </c>
      <c r="AZ5" s="68">
        <v>2023</v>
      </c>
      <c r="BA5" s="68">
        <v>2023</v>
      </c>
      <c r="BB5" s="68">
        <v>2023</v>
      </c>
      <c r="BC5" s="68">
        <v>2023</v>
      </c>
      <c r="BD5" s="68">
        <v>2023</v>
      </c>
      <c r="BE5" s="92"/>
      <c r="BF5" s="68">
        <v>2022</v>
      </c>
      <c r="BG5" s="93">
        <v>2022</v>
      </c>
      <c r="BH5" s="93">
        <v>2022</v>
      </c>
      <c r="BI5" s="93">
        <v>2022</v>
      </c>
      <c r="BJ5" s="93">
        <v>2022</v>
      </c>
      <c r="BK5" s="93">
        <v>2022</v>
      </c>
      <c r="BL5" s="93">
        <v>2022</v>
      </c>
      <c r="BM5" s="93">
        <v>2022</v>
      </c>
      <c r="BN5" s="93">
        <v>2022</v>
      </c>
      <c r="BO5" s="93">
        <v>2022</v>
      </c>
      <c r="BP5" s="93">
        <v>2022</v>
      </c>
      <c r="BQ5" s="93">
        <v>2022</v>
      </c>
      <c r="BR5" s="93">
        <v>2022</v>
      </c>
      <c r="BS5" s="92"/>
      <c r="BT5" s="68">
        <v>2021</v>
      </c>
      <c r="BU5" s="103">
        <v>2021</v>
      </c>
      <c r="BV5" s="103">
        <v>2021</v>
      </c>
      <c r="BW5" s="103">
        <v>2021</v>
      </c>
      <c r="BX5" s="103">
        <v>2021</v>
      </c>
      <c r="BY5" s="103">
        <v>2021</v>
      </c>
      <c r="BZ5" s="103">
        <v>2021</v>
      </c>
      <c r="CA5" s="67"/>
      <c r="CB5" s="68">
        <v>2020</v>
      </c>
    </row>
    <row r="6" spans="1:80" ht="13.5" customHeight="1" thickBot="1">
      <c r="A6" s="524"/>
      <c r="B6" s="69" t="s">
        <v>619</v>
      </c>
      <c r="C6" s="69" t="s">
        <v>169</v>
      </c>
      <c r="D6" s="69" t="s">
        <v>170</v>
      </c>
      <c r="E6" s="69" t="s">
        <v>159</v>
      </c>
      <c r="F6" s="69" t="s">
        <v>160</v>
      </c>
      <c r="G6" s="69" t="s">
        <v>161</v>
      </c>
      <c r="H6" s="69" t="s">
        <v>162</v>
      </c>
      <c r="I6" s="69" t="s">
        <v>163</v>
      </c>
      <c r="J6" s="69" t="s">
        <v>164</v>
      </c>
      <c r="K6" s="69" t="s">
        <v>165</v>
      </c>
      <c r="L6" s="69" t="s">
        <v>166</v>
      </c>
      <c r="M6" s="69" t="s">
        <v>167</v>
      </c>
      <c r="N6" s="69" t="s">
        <v>168</v>
      </c>
      <c r="O6" s="67"/>
      <c r="P6" s="69" t="s">
        <v>169</v>
      </c>
      <c r="Q6" s="69" t="s">
        <v>169</v>
      </c>
      <c r="R6" s="69" t="s">
        <v>170</v>
      </c>
      <c r="S6" s="69" t="s">
        <v>159</v>
      </c>
      <c r="T6" s="69" t="s">
        <v>160</v>
      </c>
      <c r="U6" s="69" t="s">
        <v>161</v>
      </c>
      <c r="V6" s="69" t="s">
        <v>162</v>
      </c>
      <c r="W6" s="69" t="s">
        <v>163</v>
      </c>
      <c r="X6" s="69" t="s">
        <v>164</v>
      </c>
      <c r="Y6" s="69" t="s">
        <v>165</v>
      </c>
      <c r="Z6" s="69" t="s">
        <v>166</v>
      </c>
      <c r="AA6" s="69" t="s">
        <v>167</v>
      </c>
      <c r="AB6" s="69" t="s">
        <v>168</v>
      </c>
      <c r="AC6" s="67"/>
      <c r="AD6" s="69" t="s">
        <v>169</v>
      </c>
      <c r="AE6" s="69" t="s">
        <v>421</v>
      </c>
      <c r="AF6" s="69" t="s">
        <v>416</v>
      </c>
      <c r="AG6" s="69" t="s">
        <v>243</v>
      </c>
      <c r="AH6" s="69" t="s">
        <v>244</v>
      </c>
      <c r="AI6" s="69" t="s">
        <v>245</v>
      </c>
      <c r="AJ6" s="69" t="s">
        <v>246</v>
      </c>
      <c r="AK6" s="69" t="s">
        <v>247</v>
      </c>
      <c r="AL6" s="69" t="s">
        <v>164</v>
      </c>
      <c r="AM6" s="69" t="s">
        <v>165</v>
      </c>
      <c r="AN6" s="69" t="s">
        <v>166</v>
      </c>
      <c r="AO6" s="69" t="s">
        <v>167</v>
      </c>
      <c r="AP6" s="69" t="s">
        <v>168</v>
      </c>
      <c r="AQ6" s="67"/>
      <c r="AR6" s="69" t="s">
        <v>169</v>
      </c>
      <c r="AS6" s="69" t="s">
        <v>169</v>
      </c>
      <c r="AT6" s="69" t="s">
        <v>170</v>
      </c>
      <c r="AU6" s="69" t="s">
        <v>159</v>
      </c>
      <c r="AV6" s="69" t="s">
        <v>160</v>
      </c>
      <c r="AW6" s="69" t="s">
        <v>161</v>
      </c>
      <c r="AX6" s="69" t="s">
        <v>162</v>
      </c>
      <c r="AY6" s="69" t="s">
        <v>163</v>
      </c>
      <c r="AZ6" s="69" t="s">
        <v>164</v>
      </c>
      <c r="BA6" s="69" t="s">
        <v>165</v>
      </c>
      <c r="BB6" s="69" t="s">
        <v>166</v>
      </c>
      <c r="BC6" s="69" t="s">
        <v>167</v>
      </c>
      <c r="BD6" s="69" t="s">
        <v>168</v>
      </c>
      <c r="BE6" s="92"/>
      <c r="BF6" s="69" t="s">
        <v>169</v>
      </c>
      <c r="BG6" s="69" t="s">
        <v>169</v>
      </c>
      <c r="BH6" s="69" t="s">
        <v>170</v>
      </c>
      <c r="BI6" s="69" t="s">
        <v>159</v>
      </c>
      <c r="BJ6" s="69" t="s">
        <v>160</v>
      </c>
      <c r="BK6" s="69" t="s">
        <v>161</v>
      </c>
      <c r="BL6" s="69" t="s">
        <v>162</v>
      </c>
      <c r="BM6" s="69" t="s">
        <v>163</v>
      </c>
      <c r="BN6" s="69" t="s">
        <v>164</v>
      </c>
      <c r="BO6" s="69" t="s">
        <v>165</v>
      </c>
      <c r="BP6" s="69" t="s">
        <v>166</v>
      </c>
      <c r="BQ6" s="69" t="s">
        <v>167</v>
      </c>
      <c r="BR6" s="99" t="s">
        <v>168</v>
      </c>
      <c r="BS6" s="92"/>
      <c r="BT6" s="69" t="s">
        <v>169</v>
      </c>
      <c r="BU6" s="69" t="s">
        <v>169</v>
      </c>
      <c r="BV6" s="69" t="s">
        <v>160</v>
      </c>
      <c r="BW6" s="69" t="s">
        <v>161</v>
      </c>
      <c r="BX6" s="69" t="s">
        <v>162</v>
      </c>
      <c r="BY6" s="69" t="s">
        <v>163</v>
      </c>
      <c r="BZ6" s="69" t="s">
        <v>164</v>
      </c>
      <c r="CA6" s="92"/>
      <c r="CB6" s="69" t="s">
        <v>169</v>
      </c>
    </row>
    <row r="7" spans="1:80" customFormat="1" ht="12.75">
      <c r="A7" s="325" t="s">
        <v>75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D7" s="136"/>
      <c r="AE7" s="136"/>
      <c r="AF7" s="136"/>
      <c r="AP7" s="139"/>
    </row>
    <row r="8" spans="1:80" customFormat="1" ht="13.5" thickBot="1">
      <c r="A8" s="139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D8" s="136"/>
      <c r="AE8" s="136"/>
      <c r="AF8" s="136"/>
      <c r="AP8" s="139"/>
    </row>
    <row r="9" spans="1:80" customFormat="1" ht="13.15" customHeight="1" thickTop="1" thickBot="1">
      <c r="A9" s="90" t="s">
        <v>442</v>
      </c>
      <c r="B9" s="75">
        <f t="shared" ref="B9:K9" si="0">+B10+B38</f>
        <v>45023259</v>
      </c>
      <c r="C9" s="75">
        <f t="shared" ref="C9:D9" si="1">+C10+C38</f>
        <v>0</v>
      </c>
      <c r="D9" s="75">
        <f t="shared" si="1"/>
        <v>0</v>
      </c>
      <c r="E9" s="75">
        <f t="shared" si="0"/>
        <v>0</v>
      </c>
      <c r="F9" s="75">
        <f t="shared" ref="F9:G9" si="2">+F10+F38</f>
        <v>0</v>
      </c>
      <c r="G9" s="75">
        <f t="shared" si="2"/>
        <v>0</v>
      </c>
      <c r="H9" s="75">
        <f t="shared" si="0"/>
        <v>0</v>
      </c>
      <c r="I9" s="75">
        <f t="shared" ref="I9:J9" si="3">+I10+I38</f>
        <v>0</v>
      </c>
      <c r="J9" s="75">
        <f t="shared" si="3"/>
        <v>0</v>
      </c>
      <c r="K9" s="75">
        <f t="shared" si="0"/>
        <v>0</v>
      </c>
      <c r="L9" s="75">
        <f t="shared" ref="L9:M9" si="4">+L10+L38</f>
        <v>0</v>
      </c>
      <c r="M9" s="75">
        <f t="shared" si="4"/>
        <v>0</v>
      </c>
      <c r="N9" s="75">
        <f>+N10+N38</f>
        <v>45023259</v>
      </c>
      <c r="O9" s="73"/>
      <c r="P9" s="75">
        <f t="shared" ref="P9:AB9" si="5">+P10+P38</f>
        <v>370322671</v>
      </c>
      <c r="Q9" s="75">
        <f t="shared" ref="Q9" si="6">+Q10+Q38</f>
        <v>41398469</v>
      </c>
      <c r="R9" s="75">
        <f t="shared" si="5"/>
        <v>42018469</v>
      </c>
      <c r="S9" s="75">
        <f t="shared" ref="S9:T9" si="7">+S10+S38</f>
        <v>43654871</v>
      </c>
      <c r="T9" s="75">
        <f t="shared" si="7"/>
        <v>42958469</v>
      </c>
      <c r="U9" s="75">
        <f t="shared" si="5"/>
        <v>31018469</v>
      </c>
      <c r="V9" s="75">
        <f t="shared" ref="V9:W9" si="8">+V10+V38</f>
        <v>29178469</v>
      </c>
      <c r="W9" s="75">
        <f t="shared" si="8"/>
        <v>28798469</v>
      </c>
      <c r="X9" s="75">
        <f t="shared" si="5"/>
        <v>26614079</v>
      </c>
      <c r="Y9" s="75">
        <f t="shared" si="5"/>
        <v>27455969</v>
      </c>
      <c r="Z9" s="75">
        <f t="shared" si="5"/>
        <v>29548469</v>
      </c>
      <c r="AA9" s="75">
        <f t="shared" si="5"/>
        <v>26168469</v>
      </c>
      <c r="AB9" s="75">
        <f t="shared" si="5"/>
        <v>1510000</v>
      </c>
      <c r="AC9" s="73"/>
      <c r="AD9" s="75">
        <f t="shared" ref="AD9:AP9" si="9">+AD10+AD38</f>
        <v>95609587</v>
      </c>
      <c r="AE9" s="75">
        <f t="shared" si="9"/>
        <v>6910000</v>
      </c>
      <c r="AF9" s="75">
        <f t="shared" si="9"/>
        <v>7309587</v>
      </c>
      <c r="AG9" s="75">
        <f t="shared" si="9"/>
        <v>6910000</v>
      </c>
      <c r="AH9" s="75">
        <f t="shared" si="9"/>
        <v>6910000</v>
      </c>
      <c r="AI9" s="75">
        <f t="shared" si="9"/>
        <v>7910000</v>
      </c>
      <c r="AJ9" s="75">
        <f t="shared" si="9"/>
        <v>9270000</v>
      </c>
      <c r="AK9" s="75">
        <f t="shared" si="9"/>
        <v>7020000</v>
      </c>
      <c r="AL9" s="75">
        <f t="shared" si="9"/>
        <v>9740000</v>
      </c>
      <c r="AM9" s="75">
        <f t="shared" si="9"/>
        <v>7020000</v>
      </c>
      <c r="AN9" s="75">
        <f t="shared" si="9"/>
        <v>10820000</v>
      </c>
      <c r="AO9" s="75">
        <f t="shared" si="9"/>
        <v>7560000</v>
      </c>
      <c r="AP9" s="75">
        <f t="shared" si="9"/>
        <v>8230000</v>
      </c>
      <c r="AQ9" s="73"/>
      <c r="AR9" s="75">
        <f t="shared" ref="AR9:BD9" si="10">+AR10+AR38</f>
        <v>102813014</v>
      </c>
      <c r="AS9" s="75">
        <f t="shared" si="10"/>
        <v>8185423</v>
      </c>
      <c r="AT9" s="75">
        <f t="shared" si="10"/>
        <v>8185423</v>
      </c>
      <c r="AU9" s="75">
        <f t="shared" si="10"/>
        <v>11760000</v>
      </c>
      <c r="AV9" s="75">
        <f t="shared" si="10"/>
        <v>2360000</v>
      </c>
      <c r="AW9" s="75">
        <f t="shared" si="10"/>
        <v>5890000</v>
      </c>
      <c r="AX9" s="75">
        <f t="shared" si="10"/>
        <v>6360000</v>
      </c>
      <c r="AY9" s="75">
        <f t="shared" si="10"/>
        <v>7080000</v>
      </c>
      <c r="AZ9" s="75">
        <f t="shared" si="10"/>
        <v>41940000</v>
      </c>
      <c r="BA9" s="75">
        <f t="shared" si="10"/>
        <v>4512000</v>
      </c>
      <c r="BB9" s="75">
        <f t="shared" si="10"/>
        <v>1520000</v>
      </c>
      <c r="BC9" s="75">
        <f t="shared" si="10"/>
        <v>2080000</v>
      </c>
      <c r="BD9" s="75">
        <f t="shared" si="10"/>
        <v>2940168</v>
      </c>
      <c r="BE9" s="65"/>
      <c r="BF9" s="75">
        <f t="shared" ref="BF9:BR9" si="11">+BF10+BF38</f>
        <v>47784225</v>
      </c>
      <c r="BG9" s="75">
        <f t="shared" si="11"/>
        <v>6640168</v>
      </c>
      <c r="BH9" s="75">
        <f t="shared" si="11"/>
        <v>1970000</v>
      </c>
      <c r="BI9" s="75">
        <f t="shared" si="11"/>
        <v>3795000</v>
      </c>
      <c r="BJ9" s="75">
        <f t="shared" si="11"/>
        <v>18668403</v>
      </c>
      <c r="BK9" s="75">
        <f t="shared" si="11"/>
        <v>11595735</v>
      </c>
      <c r="BL9" s="75">
        <f t="shared" si="11"/>
        <v>0</v>
      </c>
      <c r="BM9" s="75">
        <f t="shared" si="11"/>
        <v>0</v>
      </c>
      <c r="BN9" s="75">
        <f t="shared" si="11"/>
        <v>0</v>
      </c>
      <c r="BO9" s="75">
        <f t="shared" si="11"/>
        <v>504800</v>
      </c>
      <c r="BP9" s="75">
        <f t="shared" si="11"/>
        <v>2610119</v>
      </c>
      <c r="BQ9" s="75">
        <f t="shared" si="11"/>
        <v>1000000</v>
      </c>
      <c r="BR9" s="75">
        <f t="shared" si="11"/>
        <v>1000000</v>
      </c>
      <c r="BS9" s="65"/>
      <c r="BT9" s="75">
        <f>+BT10+BT38</f>
        <v>18444000</v>
      </c>
      <c r="BU9" s="75">
        <f t="shared" ref="BU9:BZ9" si="12">SUM(BU37:BU37)</f>
        <v>0</v>
      </c>
      <c r="BV9" s="75">
        <f t="shared" si="12"/>
        <v>0</v>
      </c>
      <c r="BW9" s="75">
        <f t="shared" si="12"/>
        <v>0</v>
      </c>
      <c r="BX9" s="75">
        <f t="shared" si="12"/>
        <v>0</v>
      </c>
      <c r="BY9" s="75">
        <f t="shared" si="12"/>
        <v>0</v>
      </c>
      <c r="BZ9" s="75">
        <f t="shared" si="12"/>
        <v>0</v>
      </c>
      <c r="CB9" s="75">
        <f>SUM(CB37:CB37)</f>
        <v>0</v>
      </c>
    </row>
    <row r="10" spans="1:80" s="318" customFormat="1" ht="13.15" customHeight="1" thickTop="1">
      <c r="A10" s="480" t="s">
        <v>580</v>
      </c>
      <c r="B10" s="319">
        <f t="shared" ref="B10:N10" si="13">SUM(B11:B37)</f>
        <v>66237137</v>
      </c>
      <c r="C10" s="319">
        <f t="shared" si="13"/>
        <v>0</v>
      </c>
      <c r="D10" s="319">
        <f t="shared" si="13"/>
        <v>0</v>
      </c>
      <c r="E10" s="319">
        <f t="shared" si="13"/>
        <v>0</v>
      </c>
      <c r="F10" s="319">
        <f t="shared" si="13"/>
        <v>0</v>
      </c>
      <c r="G10" s="319">
        <f t="shared" si="13"/>
        <v>0</v>
      </c>
      <c r="H10" s="319">
        <f t="shared" si="13"/>
        <v>0</v>
      </c>
      <c r="I10" s="319">
        <f t="shared" si="13"/>
        <v>0</v>
      </c>
      <c r="J10" s="319">
        <f t="shared" si="13"/>
        <v>0</v>
      </c>
      <c r="K10" s="319">
        <f t="shared" si="13"/>
        <v>0</v>
      </c>
      <c r="L10" s="319">
        <f t="shared" si="13"/>
        <v>0</v>
      </c>
      <c r="M10" s="319">
        <f t="shared" si="13"/>
        <v>0</v>
      </c>
      <c r="N10" s="319">
        <f t="shared" si="13"/>
        <v>66237137</v>
      </c>
      <c r="O10" s="481"/>
      <c r="P10" s="319">
        <f>SUM(P11:P37)</f>
        <v>399036750</v>
      </c>
      <c r="Q10" s="319">
        <f t="shared" ref="Q10" si="14">SUM(Q11:Q37)</f>
        <v>41398469</v>
      </c>
      <c r="R10" s="319">
        <f t="shared" ref="R10:AB10" si="15">SUM(R11:R37)</f>
        <v>42018469</v>
      </c>
      <c r="S10" s="319">
        <f t="shared" ref="S10:T10" si="16">SUM(S11:S37)</f>
        <v>43654871</v>
      </c>
      <c r="T10" s="319">
        <f t="shared" si="16"/>
        <v>42958469</v>
      </c>
      <c r="U10" s="319">
        <f t="shared" si="15"/>
        <v>31018469</v>
      </c>
      <c r="V10" s="319">
        <f t="shared" ref="V10:W10" si="17">SUM(V11:V37)</f>
        <v>56826938</v>
      </c>
      <c r="W10" s="319">
        <f t="shared" si="17"/>
        <v>28798469</v>
      </c>
      <c r="X10" s="319">
        <f t="shared" si="15"/>
        <v>26614079</v>
      </c>
      <c r="Y10" s="319">
        <f t="shared" si="15"/>
        <v>27901579</v>
      </c>
      <c r="Z10" s="319">
        <f t="shared" si="15"/>
        <v>29548469</v>
      </c>
      <c r="AA10" s="319">
        <f t="shared" si="15"/>
        <v>26788469</v>
      </c>
      <c r="AB10" s="319">
        <f t="shared" si="15"/>
        <v>1510000</v>
      </c>
      <c r="AC10" s="481"/>
      <c r="AD10" s="319">
        <f t="shared" ref="AD10:AP10" si="18">SUM(AD11:AD37)</f>
        <v>96769587</v>
      </c>
      <c r="AE10" s="319">
        <f t="shared" si="18"/>
        <v>6910000</v>
      </c>
      <c r="AF10" s="319">
        <f t="shared" si="18"/>
        <v>7309587</v>
      </c>
      <c r="AG10" s="319">
        <f t="shared" si="18"/>
        <v>7530000</v>
      </c>
      <c r="AH10" s="319">
        <f t="shared" si="18"/>
        <v>6910000</v>
      </c>
      <c r="AI10" s="319">
        <f t="shared" si="18"/>
        <v>7910000</v>
      </c>
      <c r="AJ10" s="319">
        <f t="shared" si="18"/>
        <v>9270000</v>
      </c>
      <c r="AK10" s="319">
        <f t="shared" si="18"/>
        <v>7020000</v>
      </c>
      <c r="AL10" s="319">
        <f t="shared" si="18"/>
        <v>9740000</v>
      </c>
      <c r="AM10" s="319">
        <f t="shared" si="18"/>
        <v>7560000</v>
      </c>
      <c r="AN10" s="319">
        <f t="shared" si="18"/>
        <v>10820000</v>
      </c>
      <c r="AO10" s="319">
        <f t="shared" si="18"/>
        <v>7560000</v>
      </c>
      <c r="AP10" s="319">
        <f t="shared" si="18"/>
        <v>8230000</v>
      </c>
      <c r="AQ10" s="481"/>
      <c r="AR10" s="319">
        <f t="shared" ref="AR10:BD10" si="19">SUM(AR11:AR37)</f>
        <v>105983014</v>
      </c>
      <c r="AS10" s="319">
        <f t="shared" si="19"/>
        <v>8185423</v>
      </c>
      <c r="AT10" s="319">
        <f t="shared" si="19"/>
        <v>8185423</v>
      </c>
      <c r="AU10" s="319">
        <f t="shared" si="19"/>
        <v>13260000</v>
      </c>
      <c r="AV10" s="319">
        <f t="shared" si="19"/>
        <v>2360000</v>
      </c>
      <c r="AW10" s="319">
        <f t="shared" si="19"/>
        <v>6360000</v>
      </c>
      <c r="AX10" s="319">
        <f t="shared" si="19"/>
        <v>6360000</v>
      </c>
      <c r="AY10" s="319">
        <f t="shared" si="19"/>
        <v>7080000</v>
      </c>
      <c r="AZ10" s="319">
        <f t="shared" si="19"/>
        <v>42140000</v>
      </c>
      <c r="BA10" s="319">
        <f t="shared" si="19"/>
        <v>4512000</v>
      </c>
      <c r="BB10" s="319">
        <f t="shared" si="19"/>
        <v>2520000</v>
      </c>
      <c r="BC10" s="319">
        <f t="shared" si="19"/>
        <v>2080000</v>
      </c>
      <c r="BD10" s="319">
        <f t="shared" si="19"/>
        <v>2940168</v>
      </c>
      <c r="BE10" s="320"/>
      <c r="BF10" s="319">
        <f t="shared" ref="BF10:BR10" si="20">SUM(BF11:BF37)</f>
        <v>51027964</v>
      </c>
      <c r="BG10" s="319">
        <f t="shared" si="20"/>
        <v>6640168</v>
      </c>
      <c r="BH10" s="319">
        <f t="shared" si="20"/>
        <v>1970000</v>
      </c>
      <c r="BI10" s="319">
        <f t="shared" si="20"/>
        <v>3795000</v>
      </c>
      <c r="BJ10" s="319">
        <f t="shared" si="20"/>
        <v>18668403</v>
      </c>
      <c r="BK10" s="319">
        <f t="shared" si="20"/>
        <v>12733235</v>
      </c>
      <c r="BL10" s="319">
        <f t="shared" si="20"/>
        <v>0</v>
      </c>
      <c r="BM10" s="319">
        <f t="shared" si="20"/>
        <v>0</v>
      </c>
      <c r="BN10" s="319">
        <f t="shared" si="20"/>
        <v>1106239</v>
      </c>
      <c r="BO10" s="319">
        <f t="shared" si="20"/>
        <v>1504800</v>
      </c>
      <c r="BP10" s="319">
        <f t="shared" si="20"/>
        <v>2610119</v>
      </c>
      <c r="BQ10" s="319">
        <f t="shared" si="20"/>
        <v>1000000</v>
      </c>
      <c r="BR10" s="319">
        <f t="shared" si="20"/>
        <v>1000000</v>
      </c>
      <c r="BS10" s="320"/>
      <c r="BT10" s="319">
        <f>SUM(BT11:BT37)</f>
        <v>29847361</v>
      </c>
      <c r="BU10" s="319"/>
      <c r="BV10" s="319"/>
      <c r="BW10" s="319"/>
      <c r="BX10" s="319"/>
      <c r="BY10" s="319"/>
      <c r="BZ10" s="319"/>
      <c r="CB10" s="319"/>
    </row>
    <row r="11" spans="1:80">
      <c r="A11" s="479" t="s">
        <v>564</v>
      </c>
      <c r="B11" s="144">
        <f>SUM(C11:N11)</f>
        <v>0</v>
      </c>
      <c r="C11" s="144">
        <v>0</v>
      </c>
      <c r="D11" s="144">
        <v>0</v>
      </c>
      <c r="E11" s="144">
        <v>0</v>
      </c>
      <c r="F11" s="144">
        <v>0</v>
      </c>
      <c r="G11" s="144">
        <v>0</v>
      </c>
      <c r="H11" s="144">
        <v>0</v>
      </c>
      <c r="I11" s="144">
        <v>0</v>
      </c>
      <c r="J11" s="144">
        <v>0</v>
      </c>
      <c r="K11" s="144">
        <v>0</v>
      </c>
      <c r="L11" s="144">
        <v>0</v>
      </c>
      <c r="M11" s="144">
        <v>0</v>
      </c>
      <c r="N11" s="144">
        <v>0</v>
      </c>
      <c r="O11" s="71"/>
      <c r="P11" s="144">
        <f t="shared" ref="P11:P38" si="21">SUM(Q11:AB11)</f>
        <v>7440000</v>
      </c>
      <c r="Q11" s="144">
        <v>0</v>
      </c>
      <c r="R11" s="144">
        <v>620000</v>
      </c>
      <c r="S11" s="144">
        <v>620000</v>
      </c>
      <c r="T11" s="144">
        <v>620000</v>
      </c>
      <c r="U11" s="144">
        <v>620000</v>
      </c>
      <c r="V11" s="144">
        <v>620000</v>
      </c>
      <c r="W11" s="144">
        <v>620000</v>
      </c>
      <c r="X11" s="144">
        <v>620000</v>
      </c>
      <c r="Y11" s="144">
        <v>620000</v>
      </c>
      <c r="Z11" s="144">
        <v>620000</v>
      </c>
      <c r="AA11" s="144">
        <v>1240000</v>
      </c>
      <c r="AB11" s="144">
        <v>620000</v>
      </c>
      <c r="AC11" s="71"/>
      <c r="AD11" s="144">
        <f>SUM(AE11:AP11)</f>
        <v>7910000</v>
      </c>
      <c r="AE11" s="144">
        <v>620000</v>
      </c>
      <c r="AF11" s="144">
        <v>620000</v>
      </c>
      <c r="AG11" s="144">
        <v>1240000</v>
      </c>
      <c r="AH11" s="144">
        <v>620000</v>
      </c>
      <c r="AI11" s="144">
        <v>620000</v>
      </c>
      <c r="AJ11" s="144">
        <v>620000</v>
      </c>
      <c r="AK11" s="144">
        <v>620000</v>
      </c>
      <c r="AL11" s="144">
        <v>620000</v>
      </c>
      <c r="AM11" s="144">
        <v>620000</v>
      </c>
      <c r="AN11" s="144">
        <v>620000</v>
      </c>
      <c r="AO11" s="144">
        <v>620000</v>
      </c>
      <c r="AP11" s="144">
        <v>470000</v>
      </c>
      <c r="AQ11" s="71"/>
      <c r="AR11" s="144">
        <f>SUM(AS11:BD11)</f>
        <v>0</v>
      </c>
      <c r="AS11" s="144">
        <v>0</v>
      </c>
      <c r="AT11" s="144">
        <v>0</v>
      </c>
      <c r="AU11" s="144">
        <v>0</v>
      </c>
      <c r="AV11" s="144">
        <v>0</v>
      </c>
      <c r="AW11" s="144">
        <v>0</v>
      </c>
      <c r="AX11" s="144">
        <v>0</v>
      </c>
      <c r="AY11" s="144">
        <v>0</v>
      </c>
      <c r="AZ11" s="144">
        <v>0</v>
      </c>
      <c r="BA11" s="144">
        <v>0</v>
      </c>
      <c r="BB11" s="144">
        <v>0</v>
      </c>
      <c r="BC11" s="144">
        <v>0</v>
      </c>
      <c r="BD11" s="144">
        <v>0</v>
      </c>
      <c r="BE11" s="94"/>
      <c r="BF11" s="144">
        <f t="shared" ref="BF11:BF35" si="22">SUM(BG11:BR11)</f>
        <v>0</v>
      </c>
      <c r="BG11" s="144">
        <v>0</v>
      </c>
      <c r="BH11" s="144">
        <v>0</v>
      </c>
      <c r="BI11" s="144">
        <v>0</v>
      </c>
      <c r="BJ11" s="144">
        <v>0</v>
      </c>
      <c r="BK11" s="144">
        <v>0</v>
      </c>
      <c r="BL11" s="144">
        <v>0</v>
      </c>
      <c r="BM11" s="144">
        <v>0</v>
      </c>
      <c r="BN11" s="144">
        <v>0</v>
      </c>
      <c r="BO11" s="144">
        <v>0</v>
      </c>
      <c r="BP11" s="144">
        <v>0</v>
      </c>
      <c r="BQ11" s="144">
        <v>0</v>
      </c>
      <c r="BR11" s="144">
        <v>0</v>
      </c>
      <c r="BS11" s="94"/>
      <c r="BT11" s="144">
        <f t="shared" ref="BT11:BT34" si="23">SUM(BU11:BZ11)</f>
        <v>0</v>
      </c>
      <c r="BU11" s="144">
        <v>0</v>
      </c>
      <c r="BV11" s="144">
        <v>0</v>
      </c>
      <c r="BW11" s="144">
        <v>0</v>
      </c>
      <c r="BX11" s="144">
        <v>0</v>
      </c>
      <c r="BY11" s="144">
        <v>0</v>
      </c>
      <c r="BZ11" s="144">
        <v>0</v>
      </c>
      <c r="CB11" s="144"/>
    </row>
    <row r="12" spans="1:80">
      <c r="A12" s="479" t="s">
        <v>565</v>
      </c>
      <c r="B12" s="144">
        <f t="shared" ref="B12:B36" si="24">SUM(C12:N12)</f>
        <v>0</v>
      </c>
      <c r="C12" s="144">
        <v>0</v>
      </c>
      <c r="D12" s="144">
        <v>0</v>
      </c>
      <c r="E12" s="144">
        <v>0</v>
      </c>
      <c r="F12" s="144">
        <v>0</v>
      </c>
      <c r="G12" s="144">
        <v>0</v>
      </c>
      <c r="H12" s="144">
        <v>0</v>
      </c>
      <c r="I12" s="144">
        <v>0</v>
      </c>
      <c r="J12" s="144">
        <v>0</v>
      </c>
      <c r="K12" s="144">
        <v>0</v>
      </c>
      <c r="L12" s="144">
        <v>0</v>
      </c>
      <c r="M12" s="144">
        <v>0</v>
      </c>
      <c r="N12" s="144">
        <v>0</v>
      </c>
      <c r="O12" s="71"/>
      <c r="P12" s="144">
        <f t="shared" si="21"/>
        <v>0</v>
      </c>
      <c r="Q12" s="144">
        <v>0</v>
      </c>
      <c r="R12" s="144">
        <v>0</v>
      </c>
      <c r="S12" s="144">
        <v>0</v>
      </c>
      <c r="T12" s="144">
        <v>0</v>
      </c>
      <c r="U12" s="144">
        <v>0</v>
      </c>
      <c r="V12" s="144">
        <v>0</v>
      </c>
      <c r="W12" s="144">
        <v>0</v>
      </c>
      <c r="X12" s="144">
        <v>0</v>
      </c>
      <c r="Y12" s="144">
        <v>0</v>
      </c>
      <c r="Z12" s="144">
        <v>0</v>
      </c>
      <c r="AA12" s="144">
        <v>0</v>
      </c>
      <c r="AB12" s="144">
        <v>0</v>
      </c>
      <c r="AC12" s="71"/>
      <c r="AD12" s="144">
        <f t="shared" ref="AD12:AD37" si="25">SUM(AE12:AP12)</f>
        <v>0</v>
      </c>
      <c r="AE12" s="144">
        <v>0</v>
      </c>
      <c r="AF12" s="144">
        <v>0</v>
      </c>
      <c r="AG12" s="144">
        <v>0</v>
      </c>
      <c r="AH12" s="144">
        <v>0</v>
      </c>
      <c r="AI12" s="144">
        <v>0</v>
      </c>
      <c r="AJ12" s="144">
        <v>0</v>
      </c>
      <c r="AK12" s="144">
        <v>0</v>
      </c>
      <c r="AL12" s="144">
        <v>0</v>
      </c>
      <c r="AM12" s="144">
        <v>0</v>
      </c>
      <c r="AN12" s="144">
        <v>0</v>
      </c>
      <c r="AO12" s="144">
        <v>0</v>
      </c>
      <c r="AP12" s="144">
        <v>0</v>
      </c>
      <c r="AQ12" s="71"/>
      <c r="AR12" s="144">
        <f t="shared" ref="AR12:AR37" si="26">SUM(AS12:BD12)</f>
        <v>1225423</v>
      </c>
      <c r="AS12" s="144">
        <v>425423</v>
      </c>
      <c r="AT12" s="144">
        <v>0</v>
      </c>
      <c r="AU12" s="144">
        <v>0</v>
      </c>
      <c r="AV12" s="144">
        <v>0</v>
      </c>
      <c r="AW12" s="144">
        <v>0</v>
      </c>
      <c r="AX12" s="144">
        <v>0</v>
      </c>
      <c r="AY12" s="144">
        <v>200000</v>
      </c>
      <c r="AZ12" s="144">
        <v>200000</v>
      </c>
      <c r="BA12" s="144">
        <v>400000</v>
      </c>
      <c r="BB12" s="144">
        <v>0</v>
      </c>
      <c r="BC12" s="144">
        <v>0</v>
      </c>
      <c r="BD12" s="144">
        <v>0</v>
      </c>
      <c r="BE12" s="94"/>
      <c r="BF12" s="144">
        <f t="shared" ref="BF12:BF15" si="27">SUM(BG12:BR12)</f>
        <v>450000</v>
      </c>
      <c r="BG12" s="144">
        <v>300000</v>
      </c>
      <c r="BH12" s="144">
        <v>150000</v>
      </c>
      <c r="BI12" s="144">
        <v>0</v>
      </c>
      <c r="BJ12" s="144">
        <v>0</v>
      </c>
      <c r="BK12" s="144">
        <v>0</v>
      </c>
      <c r="BL12" s="144">
        <v>0</v>
      </c>
      <c r="BM12" s="144">
        <v>0</v>
      </c>
      <c r="BN12" s="144">
        <v>0</v>
      </c>
      <c r="BO12" s="144">
        <v>0</v>
      </c>
      <c r="BP12" s="144">
        <v>0</v>
      </c>
      <c r="BQ12" s="144">
        <v>0</v>
      </c>
      <c r="BR12" s="144">
        <v>0</v>
      </c>
      <c r="BS12" s="94"/>
      <c r="BT12" s="144">
        <f t="shared" ref="BT12:BT15" si="28">SUM(BU12:BZ12)</f>
        <v>0</v>
      </c>
      <c r="BU12" s="144">
        <v>0</v>
      </c>
      <c r="BV12" s="144">
        <v>0</v>
      </c>
      <c r="BW12" s="144">
        <v>0</v>
      </c>
      <c r="BX12" s="144">
        <v>0</v>
      </c>
      <c r="BY12" s="144">
        <v>0</v>
      </c>
      <c r="BZ12" s="144">
        <v>0</v>
      </c>
      <c r="CB12" s="144"/>
    </row>
    <row r="13" spans="1:80">
      <c r="A13" s="479" t="s">
        <v>566</v>
      </c>
      <c r="B13" s="144">
        <f t="shared" si="24"/>
        <v>11000000</v>
      </c>
      <c r="C13" s="144">
        <v>0</v>
      </c>
      <c r="D13" s="144">
        <v>0</v>
      </c>
      <c r="E13" s="144">
        <v>0</v>
      </c>
      <c r="F13" s="144">
        <v>0</v>
      </c>
      <c r="G13" s="144">
        <v>0</v>
      </c>
      <c r="H13" s="144">
        <v>0</v>
      </c>
      <c r="I13" s="144">
        <v>0</v>
      </c>
      <c r="J13" s="144">
        <v>0</v>
      </c>
      <c r="K13" s="144">
        <v>0</v>
      </c>
      <c r="L13" s="144">
        <v>0</v>
      </c>
      <c r="M13" s="144">
        <v>0</v>
      </c>
      <c r="N13" s="144">
        <v>11000000</v>
      </c>
      <c r="O13" s="71"/>
      <c r="P13" s="144">
        <f t="shared" si="21"/>
        <v>44000000</v>
      </c>
      <c r="Q13" s="144">
        <v>11000000</v>
      </c>
      <c r="R13" s="144">
        <v>11000000</v>
      </c>
      <c r="S13" s="144">
        <v>11000000</v>
      </c>
      <c r="T13" s="144">
        <v>11000000</v>
      </c>
      <c r="U13" s="144">
        <v>0</v>
      </c>
      <c r="V13" s="144">
        <v>0</v>
      </c>
      <c r="W13" s="144">
        <v>0</v>
      </c>
      <c r="X13" s="144">
        <v>0</v>
      </c>
      <c r="Y13" s="144">
        <v>0</v>
      </c>
      <c r="Z13" s="144">
        <v>0</v>
      </c>
      <c r="AA13" s="144">
        <v>0</v>
      </c>
      <c r="AB13" s="144">
        <v>0</v>
      </c>
      <c r="AC13" s="71"/>
      <c r="AD13" s="144">
        <f t="shared" si="25"/>
        <v>64800000</v>
      </c>
      <c r="AE13" s="144">
        <v>5400000</v>
      </c>
      <c r="AF13" s="144">
        <v>5400000</v>
      </c>
      <c r="AG13" s="144">
        <v>5400000</v>
      </c>
      <c r="AH13" s="144">
        <v>5400000</v>
      </c>
      <c r="AI13" s="144">
        <v>5400000</v>
      </c>
      <c r="AJ13" s="144">
        <v>5400000</v>
      </c>
      <c r="AK13" s="144">
        <v>5400000</v>
      </c>
      <c r="AL13" s="144">
        <v>5400000</v>
      </c>
      <c r="AM13" s="144">
        <v>5400000</v>
      </c>
      <c r="AN13" s="144">
        <v>5400000</v>
      </c>
      <c r="AO13" s="144">
        <v>5400000</v>
      </c>
      <c r="AP13" s="144">
        <v>5400000</v>
      </c>
      <c r="AQ13" s="71"/>
      <c r="AR13" s="144">
        <f t="shared" si="26"/>
        <v>32200000</v>
      </c>
      <c r="AS13" s="144">
        <v>5400000</v>
      </c>
      <c r="AT13" s="144">
        <v>5400000</v>
      </c>
      <c r="AU13" s="144">
        <v>9400000</v>
      </c>
      <c r="AV13" s="144">
        <v>0</v>
      </c>
      <c r="AW13" s="144">
        <v>4000000</v>
      </c>
      <c r="AX13" s="144">
        <v>4000000</v>
      </c>
      <c r="AY13" s="144">
        <v>4000000</v>
      </c>
      <c r="AZ13" s="144">
        <v>0</v>
      </c>
      <c r="BA13" s="144">
        <v>0</v>
      </c>
      <c r="BB13" s="144">
        <v>0</v>
      </c>
      <c r="BC13" s="144">
        <v>0</v>
      </c>
      <c r="BD13" s="144">
        <v>0</v>
      </c>
      <c r="BE13" s="94"/>
      <c r="BF13" s="144">
        <f t="shared" si="27"/>
        <v>25050000</v>
      </c>
      <c r="BG13" s="144">
        <v>0</v>
      </c>
      <c r="BH13" s="144">
        <v>0</v>
      </c>
      <c r="BI13" s="144">
        <v>0</v>
      </c>
      <c r="BJ13" s="144">
        <v>16700000</v>
      </c>
      <c r="BK13" s="144">
        <v>8350000</v>
      </c>
      <c r="BL13" s="144">
        <v>0</v>
      </c>
      <c r="BM13" s="144">
        <v>0</v>
      </c>
      <c r="BN13" s="144">
        <v>0</v>
      </c>
      <c r="BO13" s="144">
        <v>0</v>
      </c>
      <c r="BP13" s="144">
        <v>0</v>
      </c>
      <c r="BQ13" s="144">
        <v>0</v>
      </c>
      <c r="BR13" s="144">
        <v>0</v>
      </c>
      <c r="BS13" s="94"/>
      <c r="BT13" s="144">
        <f t="shared" si="28"/>
        <v>0</v>
      </c>
      <c r="BU13" s="144">
        <v>0</v>
      </c>
      <c r="BV13" s="144">
        <v>0</v>
      </c>
      <c r="BW13" s="144">
        <v>0</v>
      </c>
      <c r="BX13" s="144">
        <v>0</v>
      </c>
      <c r="BY13" s="144">
        <v>0</v>
      </c>
      <c r="BZ13" s="144">
        <v>0</v>
      </c>
      <c r="CB13" s="144"/>
    </row>
    <row r="14" spans="1:80">
      <c r="A14" s="479" t="s">
        <v>216</v>
      </c>
      <c r="B14" s="144">
        <f t="shared" si="24"/>
        <v>0</v>
      </c>
      <c r="C14" s="144">
        <v>0</v>
      </c>
      <c r="D14" s="144">
        <v>0</v>
      </c>
      <c r="E14" s="144">
        <v>0</v>
      </c>
      <c r="F14" s="144">
        <v>0</v>
      </c>
      <c r="G14" s="144">
        <v>0</v>
      </c>
      <c r="H14" s="144">
        <v>0</v>
      </c>
      <c r="I14" s="144">
        <v>0</v>
      </c>
      <c r="J14" s="144">
        <v>0</v>
      </c>
      <c r="K14" s="144">
        <v>0</v>
      </c>
      <c r="L14" s="144">
        <v>0</v>
      </c>
      <c r="M14" s="144">
        <v>0</v>
      </c>
      <c r="N14" s="144">
        <v>0</v>
      </c>
      <c r="O14" s="71"/>
      <c r="P14" s="144">
        <f t="shared" si="21"/>
        <v>1703122</v>
      </c>
      <c r="Q14" s="144">
        <v>0</v>
      </c>
      <c r="R14" s="144">
        <v>0</v>
      </c>
      <c r="S14" s="144">
        <v>811902</v>
      </c>
      <c r="T14" s="144">
        <v>0</v>
      </c>
      <c r="U14" s="144">
        <v>0</v>
      </c>
      <c r="V14" s="144">
        <v>0</v>
      </c>
      <c r="W14" s="144">
        <v>0</v>
      </c>
      <c r="X14" s="144">
        <v>445610</v>
      </c>
      <c r="Y14" s="144">
        <v>445610</v>
      </c>
      <c r="Z14" s="144">
        <v>0</v>
      </c>
      <c r="AA14" s="144">
        <v>0</v>
      </c>
      <c r="AB14" s="144">
        <v>0</v>
      </c>
      <c r="AC14" s="71"/>
      <c r="AD14" s="144">
        <f t="shared" si="25"/>
        <v>8000000</v>
      </c>
      <c r="AE14" s="144">
        <v>0</v>
      </c>
      <c r="AF14" s="144">
        <v>0</v>
      </c>
      <c r="AG14" s="144">
        <v>0</v>
      </c>
      <c r="AH14" s="144">
        <v>0</v>
      </c>
      <c r="AI14" s="144">
        <v>1000000</v>
      </c>
      <c r="AJ14" s="144">
        <v>1000000</v>
      </c>
      <c r="AK14" s="144">
        <v>1000000</v>
      </c>
      <c r="AL14" s="144">
        <v>1000000</v>
      </c>
      <c r="AM14" s="144">
        <v>1000000</v>
      </c>
      <c r="AN14" s="144">
        <v>1000000</v>
      </c>
      <c r="AO14" s="144">
        <v>1000000</v>
      </c>
      <c r="AP14" s="144">
        <v>1000000</v>
      </c>
      <c r="AQ14" s="71"/>
      <c r="AR14" s="144">
        <f t="shared" si="26"/>
        <v>12500000</v>
      </c>
      <c r="AS14" s="144">
        <v>1000000</v>
      </c>
      <c r="AT14" s="144">
        <v>1000000</v>
      </c>
      <c r="AU14" s="144">
        <v>2500000</v>
      </c>
      <c r="AV14" s="144">
        <v>1000000</v>
      </c>
      <c r="AW14" s="144">
        <v>1000000</v>
      </c>
      <c r="AX14" s="144">
        <v>1000000</v>
      </c>
      <c r="AY14" s="144">
        <v>1000000</v>
      </c>
      <c r="AZ14" s="144">
        <v>1000000</v>
      </c>
      <c r="BA14" s="144">
        <v>1000000</v>
      </c>
      <c r="BB14" s="144">
        <v>1000000</v>
      </c>
      <c r="BC14" s="144">
        <v>0</v>
      </c>
      <c r="BD14" s="144">
        <v>1000000</v>
      </c>
      <c r="BE14" s="94"/>
      <c r="BF14" s="144">
        <f t="shared" si="27"/>
        <v>8000000</v>
      </c>
      <c r="BG14" s="144">
        <v>1000000</v>
      </c>
      <c r="BH14" s="144">
        <v>1000000</v>
      </c>
      <c r="BI14" s="144">
        <v>1000000</v>
      </c>
      <c r="BJ14" s="144">
        <v>0</v>
      </c>
      <c r="BK14" s="144">
        <v>1000000</v>
      </c>
      <c r="BL14" s="144">
        <v>0</v>
      </c>
      <c r="BM14" s="144">
        <v>0</v>
      </c>
      <c r="BN14" s="144">
        <v>0</v>
      </c>
      <c r="BO14" s="144">
        <v>1000000</v>
      </c>
      <c r="BP14" s="144">
        <v>1000000</v>
      </c>
      <c r="BQ14" s="144">
        <v>1000000</v>
      </c>
      <c r="BR14" s="144">
        <v>1000000</v>
      </c>
      <c r="BS14" s="94"/>
      <c r="BT14" s="144">
        <v>1500000</v>
      </c>
      <c r="BU14" s="144">
        <v>0</v>
      </c>
      <c r="BV14" s="144">
        <v>0</v>
      </c>
      <c r="BW14" s="144">
        <v>500000</v>
      </c>
      <c r="BX14" s="144">
        <v>0</v>
      </c>
      <c r="BY14" s="144">
        <v>0</v>
      </c>
      <c r="BZ14" s="144">
        <v>0</v>
      </c>
      <c r="CB14" s="144"/>
    </row>
    <row r="15" spans="1:80">
      <c r="A15" s="479" t="s">
        <v>567</v>
      </c>
      <c r="B15" s="144">
        <f t="shared" si="24"/>
        <v>0</v>
      </c>
      <c r="C15" s="144">
        <v>0</v>
      </c>
      <c r="D15" s="144">
        <v>0</v>
      </c>
      <c r="E15" s="144">
        <v>0</v>
      </c>
      <c r="F15" s="144">
        <v>0</v>
      </c>
      <c r="G15" s="144">
        <v>0</v>
      </c>
      <c r="H15" s="144">
        <v>0</v>
      </c>
      <c r="I15" s="144">
        <v>0</v>
      </c>
      <c r="J15" s="144">
        <v>0</v>
      </c>
      <c r="K15" s="144">
        <v>0</v>
      </c>
      <c r="L15" s="144">
        <v>0</v>
      </c>
      <c r="M15" s="144">
        <v>0</v>
      </c>
      <c r="N15" s="144">
        <v>0</v>
      </c>
      <c r="O15" s="71"/>
      <c r="P15" s="144">
        <f t="shared" si="21"/>
        <v>0</v>
      </c>
      <c r="Q15" s="144">
        <v>0</v>
      </c>
      <c r="R15" s="144">
        <v>0</v>
      </c>
      <c r="S15" s="144">
        <v>0</v>
      </c>
      <c r="T15" s="144">
        <v>0</v>
      </c>
      <c r="U15" s="144">
        <v>0</v>
      </c>
      <c r="V15" s="144">
        <v>0</v>
      </c>
      <c r="W15" s="144">
        <v>0</v>
      </c>
      <c r="X15" s="144">
        <v>0</v>
      </c>
      <c r="Y15" s="144">
        <v>0</v>
      </c>
      <c r="Z15" s="144">
        <v>0</v>
      </c>
      <c r="AA15" s="144">
        <v>0</v>
      </c>
      <c r="AB15" s="144">
        <v>0</v>
      </c>
      <c r="AC15" s="71"/>
      <c r="AD15" s="144">
        <f t="shared" si="25"/>
        <v>0</v>
      </c>
      <c r="AE15" s="144">
        <v>0</v>
      </c>
      <c r="AF15" s="144">
        <v>0</v>
      </c>
      <c r="AG15" s="144">
        <v>0</v>
      </c>
      <c r="AH15" s="144">
        <v>0</v>
      </c>
      <c r="AI15" s="144">
        <v>0</v>
      </c>
      <c r="AJ15" s="144">
        <v>0</v>
      </c>
      <c r="AK15" s="144">
        <v>0</v>
      </c>
      <c r="AL15" s="144">
        <v>0</v>
      </c>
      <c r="AM15" s="144">
        <v>0</v>
      </c>
      <c r="AN15" s="144">
        <v>0</v>
      </c>
      <c r="AO15" s="144">
        <v>0</v>
      </c>
      <c r="AP15" s="144">
        <v>0</v>
      </c>
      <c r="AQ15" s="71"/>
      <c r="AR15" s="144">
        <f t="shared" si="26"/>
        <v>40000000</v>
      </c>
      <c r="AS15" s="144">
        <v>0</v>
      </c>
      <c r="AT15" s="144">
        <v>0</v>
      </c>
      <c r="AU15" s="144">
        <v>0</v>
      </c>
      <c r="AV15" s="144">
        <v>0</v>
      </c>
      <c r="AW15" s="144">
        <v>0</v>
      </c>
      <c r="AX15" s="144">
        <v>0</v>
      </c>
      <c r="AY15" s="144">
        <v>0</v>
      </c>
      <c r="AZ15" s="144">
        <v>40000000</v>
      </c>
      <c r="BA15" s="144">
        <v>0</v>
      </c>
      <c r="BB15" s="144">
        <v>0</v>
      </c>
      <c r="BC15" s="144">
        <v>0</v>
      </c>
      <c r="BD15" s="144">
        <v>0</v>
      </c>
      <c r="BE15" s="94"/>
      <c r="BF15" s="144">
        <f t="shared" si="27"/>
        <v>0</v>
      </c>
      <c r="BG15" s="144">
        <v>0</v>
      </c>
      <c r="BH15" s="144">
        <v>0</v>
      </c>
      <c r="BI15" s="144">
        <v>0</v>
      </c>
      <c r="BJ15" s="144">
        <v>0</v>
      </c>
      <c r="BK15" s="144">
        <v>0</v>
      </c>
      <c r="BL15" s="144">
        <v>0</v>
      </c>
      <c r="BM15" s="144">
        <v>0</v>
      </c>
      <c r="BN15" s="144">
        <v>0</v>
      </c>
      <c r="BO15" s="144">
        <v>0</v>
      </c>
      <c r="BP15" s="144">
        <v>0</v>
      </c>
      <c r="BQ15" s="144">
        <v>0</v>
      </c>
      <c r="BR15" s="144">
        <v>0</v>
      </c>
      <c r="BS15" s="94"/>
      <c r="BT15" s="144">
        <f t="shared" si="28"/>
        <v>0</v>
      </c>
      <c r="BU15" s="144">
        <v>0</v>
      </c>
      <c r="BV15" s="144">
        <v>0</v>
      </c>
      <c r="BW15" s="144">
        <v>0</v>
      </c>
      <c r="BX15" s="144">
        <v>0</v>
      </c>
      <c r="BY15" s="144">
        <v>0</v>
      </c>
      <c r="BZ15" s="144">
        <v>0</v>
      </c>
      <c r="CB15" s="144"/>
    </row>
    <row r="16" spans="1:80">
      <c r="A16" s="479" t="s">
        <v>568</v>
      </c>
      <c r="B16" s="144">
        <f t="shared" si="24"/>
        <v>0</v>
      </c>
      <c r="C16" s="144">
        <v>0</v>
      </c>
      <c r="D16" s="144">
        <v>0</v>
      </c>
      <c r="E16" s="144">
        <v>0</v>
      </c>
      <c r="F16" s="144">
        <v>0</v>
      </c>
      <c r="G16" s="144">
        <v>0</v>
      </c>
      <c r="H16" s="144">
        <v>0</v>
      </c>
      <c r="I16" s="144">
        <v>0</v>
      </c>
      <c r="J16" s="144">
        <v>0</v>
      </c>
      <c r="K16" s="144">
        <v>0</v>
      </c>
      <c r="L16" s="144">
        <v>0</v>
      </c>
      <c r="M16" s="144">
        <v>0</v>
      </c>
      <c r="N16" s="144">
        <v>0</v>
      </c>
      <c r="O16" s="71"/>
      <c r="P16" s="144">
        <f t="shared" si="21"/>
        <v>0</v>
      </c>
      <c r="Q16" s="144">
        <v>0</v>
      </c>
      <c r="R16" s="144">
        <v>0</v>
      </c>
      <c r="S16" s="144">
        <v>0</v>
      </c>
      <c r="T16" s="144">
        <v>0</v>
      </c>
      <c r="U16" s="144">
        <v>0</v>
      </c>
      <c r="V16" s="144">
        <v>0</v>
      </c>
      <c r="W16" s="144">
        <v>0</v>
      </c>
      <c r="X16" s="144">
        <v>0</v>
      </c>
      <c r="Y16" s="144">
        <v>0</v>
      </c>
      <c r="Z16" s="144">
        <v>0</v>
      </c>
      <c r="AA16" s="144">
        <v>0</v>
      </c>
      <c r="AB16" s="144">
        <v>0</v>
      </c>
      <c r="AC16" s="71"/>
      <c r="AD16" s="144">
        <f t="shared" si="25"/>
        <v>0</v>
      </c>
      <c r="AE16" s="144">
        <v>0</v>
      </c>
      <c r="AF16" s="144">
        <v>0</v>
      </c>
      <c r="AG16" s="144">
        <v>0</v>
      </c>
      <c r="AH16" s="144">
        <v>0</v>
      </c>
      <c r="AI16" s="144">
        <v>0</v>
      </c>
      <c r="AJ16" s="144">
        <v>0</v>
      </c>
      <c r="AK16" s="144">
        <v>0</v>
      </c>
      <c r="AL16" s="144">
        <v>0</v>
      </c>
      <c r="AM16" s="144">
        <v>0</v>
      </c>
      <c r="AN16" s="144">
        <v>0</v>
      </c>
      <c r="AO16" s="144">
        <v>0</v>
      </c>
      <c r="AP16" s="144">
        <v>0</v>
      </c>
      <c r="AQ16" s="71"/>
      <c r="AR16" s="144">
        <f t="shared" si="26"/>
        <v>730000</v>
      </c>
      <c r="AS16" s="144">
        <v>0</v>
      </c>
      <c r="AT16" s="144">
        <v>0</v>
      </c>
      <c r="AU16" s="144">
        <v>0</v>
      </c>
      <c r="AV16" s="144">
        <v>0</v>
      </c>
      <c r="AW16" s="144">
        <v>0</v>
      </c>
      <c r="AX16" s="144">
        <v>0</v>
      </c>
      <c r="AY16" s="144">
        <v>0</v>
      </c>
      <c r="AZ16" s="144">
        <v>0</v>
      </c>
      <c r="BA16" s="144">
        <v>0</v>
      </c>
      <c r="BB16" s="144">
        <v>0</v>
      </c>
      <c r="BC16" s="144">
        <v>730000</v>
      </c>
      <c r="BD16" s="144">
        <v>0</v>
      </c>
      <c r="BE16" s="94"/>
      <c r="BF16" s="144">
        <f t="shared" si="22"/>
        <v>0</v>
      </c>
      <c r="BG16" s="144">
        <v>0</v>
      </c>
      <c r="BH16" s="144">
        <v>0</v>
      </c>
      <c r="BI16" s="144">
        <v>0</v>
      </c>
      <c r="BJ16" s="144">
        <v>0</v>
      </c>
      <c r="BK16" s="144">
        <v>0</v>
      </c>
      <c r="BL16" s="144">
        <v>0</v>
      </c>
      <c r="BM16" s="144">
        <v>0</v>
      </c>
      <c r="BN16" s="144">
        <v>0</v>
      </c>
      <c r="BO16" s="144">
        <v>0</v>
      </c>
      <c r="BP16" s="144">
        <v>0</v>
      </c>
      <c r="BQ16" s="144">
        <v>0</v>
      </c>
      <c r="BR16" s="144">
        <v>0</v>
      </c>
      <c r="BS16" s="94"/>
      <c r="BT16" s="144">
        <f t="shared" si="23"/>
        <v>0</v>
      </c>
      <c r="BU16" s="144">
        <v>0</v>
      </c>
      <c r="BV16" s="144">
        <v>0</v>
      </c>
      <c r="BW16" s="144">
        <v>0</v>
      </c>
      <c r="BX16" s="144">
        <v>0</v>
      </c>
      <c r="BY16" s="144">
        <v>0</v>
      </c>
      <c r="BZ16" s="144">
        <v>0</v>
      </c>
      <c r="CB16" s="144"/>
    </row>
    <row r="17" spans="1:80">
      <c r="A17" s="479" t="s">
        <v>569</v>
      </c>
      <c r="B17" s="144">
        <f t="shared" si="24"/>
        <v>0</v>
      </c>
      <c r="C17" s="144">
        <v>0</v>
      </c>
      <c r="D17" s="144">
        <v>0</v>
      </c>
      <c r="E17" s="144">
        <v>0</v>
      </c>
      <c r="F17" s="144">
        <v>0</v>
      </c>
      <c r="G17" s="144">
        <v>0</v>
      </c>
      <c r="H17" s="144">
        <v>0</v>
      </c>
      <c r="I17" s="144">
        <v>0</v>
      </c>
      <c r="J17" s="144">
        <v>0</v>
      </c>
      <c r="K17" s="144">
        <v>0</v>
      </c>
      <c r="L17" s="144">
        <v>0</v>
      </c>
      <c r="M17" s="144">
        <v>0</v>
      </c>
      <c r="N17" s="144">
        <v>0</v>
      </c>
      <c r="O17" s="71"/>
      <c r="P17" s="144">
        <f t="shared" si="21"/>
        <v>1222000</v>
      </c>
      <c r="Q17" s="144">
        <v>0</v>
      </c>
      <c r="R17" s="144">
        <v>0</v>
      </c>
      <c r="S17" s="144">
        <v>824500</v>
      </c>
      <c r="T17" s="144">
        <v>0</v>
      </c>
      <c r="U17" s="144">
        <v>0</v>
      </c>
      <c r="V17" s="144">
        <v>0</v>
      </c>
      <c r="W17" s="144">
        <v>0</v>
      </c>
      <c r="X17" s="144">
        <v>0</v>
      </c>
      <c r="Y17" s="144">
        <v>397500</v>
      </c>
      <c r="Z17" s="144">
        <v>0</v>
      </c>
      <c r="AA17" s="144">
        <v>0</v>
      </c>
      <c r="AB17" s="144">
        <v>0</v>
      </c>
      <c r="AC17" s="71"/>
      <c r="AD17" s="144">
        <f t="shared" si="25"/>
        <v>399587</v>
      </c>
      <c r="AE17" s="144">
        <v>0</v>
      </c>
      <c r="AF17" s="144">
        <v>399587</v>
      </c>
      <c r="AG17" s="144">
        <v>0</v>
      </c>
      <c r="AH17" s="144">
        <v>0</v>
      </c>
      <c r="AI17" s="144">
        <v>0</v>
      </c>
      <c r="AJ17" s="144">
        <v>0</v>
      </c>
      <c r="AK17" s="144">
        <v>0</v>
      </c>
      <c r="AL17" s="144">
        <v>0</v>
      </c>
      <c r="AM17" s="144">
        <v>0</v>
      </c>
      <c r="AN17" s="144">
        <v>0</v>
      </c>
      <c r="AO17" s="144">
        <v>0</v>
      </c>
      <c r="AP17" s="144">
        <v>0</v>
      </c>
      <c r="AQ17" s="71"/>
      <c r="AR17" s="144">
        <f t="shared" si="26"/>
        <v>657423</v>
      </c>
      <c r="AS17" s="144">
        <v>0</v>
      </c>
      <c r="AT17" s="144">
        <v>425423</v>
      </c>
      <c r="AU17" s="144">
        <v>0</v>
      </c>
      <c r="AV17" s="144">
        <v>0</v>
      </c>
      <c r="AW17" s="144">
        <v>0</v>
      </c>
      <c r="AX17" s="144">
        <v>0</v>
      </c>
      <c r="AY17" s="144">
        <v>0</v>
      </c>
      <c r="AZ17" s="144">
        <v>0</v>
      </c>
      <c r="BA17" s="144">
        <v>232000</v>
      </c>
      <c r="BB17" s="144">
        <v>0</v>
      </c>
      <c r="BC17" s="144">
        <v>0</v>
      </c>
      <c r="BD17" s="144">
        <v>0</v>
      </c>
      <c r="BE17" s="94"/>
      <c r="BF17" s="144">
        <f t="shared" si="22"/>
        <v>1200000</v>
      </c>
      <c r="BG17" s="144">
        <v>300000</v>
      </c>
      <c r="BH17" s="144">
        <v>300000</v>
      </c>
      <c r="BI17" s="144">
        <v>0</v>
      </c>
      <c r="BJ17" s="144">
        <v>600000</v>
      </c>
      <c r="BK17" s="144">
        <v>0</v>
      </c>
      <c r="BL17" s="144">
        <v>0</v>
      </c>
      <c r="BM17" s="144">
        <v>0</v>
      </c>
      <c r="BN17" s="144">
        <v>0</v>
      </c>
      <c r="BO17" s="144">
        <v>0</v>
      </c>
      <c r="BP17" s="144">
        <v>0</v>
      </c>
      <c r="BQ17" s="144">
        <v>0</v>
      </c>
      <c r="BR17" s="144">
        <v>0</v>
      </c>
      <c r="BS17" s="94"/>
      <c r="BT17" s="144">
        <f t="shared" si="23"/>
        <v>0</v>
      </c>
      <c r="BU17" s="144">
        <v>0</v>
      </c>
      <c r="BV17" s="144">
        <v>0</v>
      </c>
      <c r="BW17" s="144">
        <v>0</v>
      </c>
      <c r="BX17" s="144">
        <v>0</v>
      </c>
      <c r="BY17" s="144">
        <v>0</v>
      </c>
      <c r="BZ17" s="144">
        <v>0</v>
      </c>
      <c r="CB17" s="144"/>
    </row>
    <row r="18" spans="1:80" hidden="1">
      <c r="A18" s="479" t="s">
        <v>570</v>
      </c>
      <c r="B18" s="144">
        <f t="shared" si="24"/>
        <v>0</v>
      </c>
      <c r="C18" s="144">
        <f t="shared" ref="C18:N22" si="29">SUM(E18:P18)</f>
        <v>0</v>
      </c>
      <c r="D18" s="144">
        <f t="shared" si="29"/>
        <v>0</v>
      </c>
      <c r="E18" s="144">
        <f t="shared" si="29"/>
        <v>0</v>
      </c>
      <c r="F18" s="144">
        <f t="shared" si="29"/>
        <v>0</v>
      </c>
      <c r="G18" s="144">
        <f t="shared" si="29"/>
        <v>0</v>
      </c>
      <c r="H18" s="144">
        <f t="shared" si="29"/>
        <v>0</v>
      </c>
      <c r="I18" s="144">
        <f t="shared" si="29"/>
        <v>0</v>
      </c>
      <c r="J18" s="144">
        <f t="shared" si="29"/>
        <v>0</v>
      </c>
      <c r="K18" s="144">
        <f t="shared" si="29"/>
        <v>0</v>
      </c>
      <c r="L18" s="144">
        <f t="shared" si="29"/>
        <v>0</v>
      </c>
      <c r="M18" s="144">
        <f t="shared" si="29"/>
        <v>0</v>
      </c>
      <c r="N18" s="144">
        <f t="shared" si="29"/>
        <v>0</v>
      </c>
      <c r="O18" s="71"/>
      <c r="P18" s="144">
        <f t="shared" si="21"/>
        <v>0</v>
      </c>
      <c r="Q18" s="144">
        <v>0</v>
      </c>
      <c r="R18" s="144">
        <v>0</v>
      </c>
      <c r="S18" s="144">
        <v>0</v>
      </c>
      <c r="T18" s="144">
        <v>0</v>
      </c>
      <c r="U18" s="144">
        <v>0</v>
      </c>
      <c r="V18" s="144">
        <v>0</v>
      </c>
      <c r="W18" s="144">
        <v>0</v>
      </c>
      <c r="X18" s="144">
        <v>0</v>
      </c>
      <c r="Y18" s="144">
        <v>0</v>
      </c>
      <c r="Z18" s="144">
        <v>0</v>
      </c>
      <c r="AA18" s="144">
        <v>0</v>
      </c>
      <c r="AB18" s="144">
        <v>0</v>
      </c>
      <c r="AC18" s="71"/>
      <c r="AD18" s="144">
        <f t="shared" si="25"/>
        <v>0</v>
      </c>
      <c r="AE18" s="144">
        <v>0</v>
      </c>
      <c r="AF18" s="144">
        <v>0</v>
      </c>
      <c r="AG18" s="144">
        <v>0</v>
      </c>
      <c r="AH18" s="144">
        <v>0</v>
      </c>
      <c r="AI18" s="144">
        <v>0</v>
      </c>
      <c r="AJ18" s="144">
        <v>0</v>
      </c>
      <c r="AK18" s="144">
        <v>0</v>
      </c>
      <c r="AL18" s="144">
        <v>0</v>
      </c>
      <c r="AM18" s="144">
        <v>0</v>
      </c>
      <c r="AN18" s="144">
        <v>0</v>
      </c>
      <c r="AO18" s="144">
        <v>0</v>
      </c>
      <c r="AP18" s="144">
        <v>0</v>
      </c>
      <c r="AQ18" s="71"/>
      <c r="AR18" s="144">
        <f t="shared" si="26"/>
        <v>0</v>
      </c>
      <c r="AS18" s="144">
        <v>0</v>
      </c>
      <c r="AT18" s="144">
        <v>0</v>
      </c>
      <c r="AU18" s="144">
        <v>0</v>
      </c>
      <c r="AV18" s="144">
        <v>0</v>
      </c>
      <c r="AW18" s="144">
        <v>0</v>
      </c>
      <c r="AX18" s="144">
        <v>0</v>
      </c>
      <c r="AY18" s="144">
        <v>0</v>
      </c>
      <c r="AZ18" s="144">
        <v>0</v>
      </c>
      <c r="BA18" s="144">
        <v>0</v>
      </c>
      <c r="BB18" s="144">
        <v>0</v>
      </c>
      <c r="BC18" s="144">
        <v>0</v>
      </c>
      <c r="BD18" s="144">
        <v>0</v>
      </c>
      <c r="BE18" s="94"/>
      <c r="BF18" s="144">
        <f t="shared" ref="BF18" si="30">SUM(BG18:BR18)</f>
        <v>1500000</v>
      </c>
      <c r="BG18" s="144">
        <v>1500000</v>
      </c>
      <c r="BH18" s="144">
        <v>0</v>
      </c>
      <c r="BI18" s="144">
        <v>0</v>
      </c>
      <c r="BJ18" s="144">
        <v>0</v>
      </c>
      <c r="BK18" s="144">
        <v>0</v>
      </c>
      <c r="BL18" s="144">
        <v>0</v>
      </c>
      <c r="BM18" s="144">
        <v>0</v>
      </c>
      <c r="BN18" s="144">
        <v>0</v>
      </c>
      <c r="BO18" s="144">
        <v>0</v>
      </c>
      <c r="BP18" s="144">
        <v>0</v>
      </c>
      <c r="BQ18" s="144">
        <v>0</v>
      </c>
      <c r="BR18" s="144">
        <v>0</v>
      </c>
      <c r="BS18" s="94"/>
      <c r="BT18" s="144">
        <f t="shared" ref="BT18" si="31">SUM(BU18:BZ18)</f>
        <v>0</v>
      </c>
      <c r="BU18" s="144">
        <v>0</v>
      </c>
      <c r="BV18" s="144">
        <v>0</v>
      </c>
      <c r="BW18" s="144">
        <v>0</v>
      </c>
      <c r="BX18" s="144">
        <v>0</v>
      </c>
      <c r="BY18" s="144">
        <v>0</v>
      </c>
      <c r="BZ18" s="144">
        <v>0</v>
      </c>
      <c r="CB18" s="144"/>
    </row>
    <row r="19" spans="1:80" hidden="1">
      <c r="A19" s="482" t="s">
        <v>585</v>
      </c>
      <c r="B19" s="144">
        <f t="shared" si="24"/>
        <v>0</v>
      </c>
      <c r="C19" s="144">
        <f t="shared" si="29"/>
        <v>0</v>
      </c>
      <c r="D19" s="144">
        <f t="shared" si="29"/>
        <v>0</v>
      </c>
      <c r="E19" s="144">
        <f t="shared" si="29"/>
        <v>0</v>
      </c>
      <c r="F19" s="144">
        <f t="shared" si="29"/>
        <v>0</v>
      </c>
      <c r="G19" s="144">
        <f t="shared" si="29"/>
        <v>0</v>
      </c>
      <c r="H19" s="144">
        <f t="shared" si="29"/>
        <v>0</v>
      </c>
      <c r="I19" s="144">
        <f t="shared" si="29"/>
        <v>0</v>
      </c>
      <c r="J19" s="144">
        <f t="shared" si="29"/>
        <v>0</v>
      </c>
      <c r="K19" s="144">
        <f t="shared" si="29"/>
        <v>0</v>
      </c>
      <c r="L19" s="144">
        <f t="shared" si="29"/>
        <v>0</v>
      </c>
      <c r="M19" s="144">
        <f t="shared" si="29"/>
        <v>0</v>
      </c>
      <c r="N19" s="144">
        <f t="shared" si="29"/>
        <v>0</v>
      </c>
      <c r="O19" s="71"/>
      <c r="P19" s="144">
        <f t="shared" si="21"/>
        <v>0</v>
      </c>
      <c r="Q19" s="144">
        <v>0</v>
      </c>
      <c r="R19" s="144">
        <v>0</v>
      </c>
      <c r="S19" s="144">
        <v>0</v>
      </c>
      <c r="T19" s="144">
        <v>0</v>
      </c>
      <c r="U19" s="144">
        <v>0</v>
      </c>
      <c r="V19" s="144">
        <v>0</v>
      </c>
      <c r="W19" s="144">
        <v>0</v>
      </c>
      <c r="X19" s="144">
        <v>0</v>
      </c>
      <c r="Y19" s="144">
        <v>0</v>
      </c>
      <c r="Z19" s="144">
        <v>0</v>
      </c>
      <c r="AA19" s="144">
        <v>0</v>
      </c>
      <c r="AB19" s="144">
        <v>0</v>
      </c>
      <c r="AC19" s="71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71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9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94"/>
      <c r="BT19" s="144">
        <v>9444500</v>
      </c>
      <c r="BU19" s="144"/>
      <c r="BV19" s="144"/>
      <c r="BW19" s="144"/>
      <c r="BX19" s="144"/>
      <c r="BY19" s="144"/>
      <c r="BZ19" s="144"/>
      <c r="CB19" s="144"/>
    </row>
    <row r="20" spans="1:80" hidden="1">
      <c r="A20" s="479" t="s">
        <v>571</v>
      </c>
      <c r="B20" s="144">
        <f t="shared" si="24"/>
        <v>0</v>
      </c>
      <c r="C20" s="144">
        <f t="shared" si="29"/>
        <v>0</v>
      </c>
      <c r="D20" s="144">
        <f t="shared" si="29"/>
        <v>0</v>
      </c>
      <c r="E20" s="144">
        <f t="shared" si="29"/>
        <v>0</v>
      </c>
      <c r="F20" s="144">
        <f t="shared" si="29"/>
        <v>0</v>
      </c>
      <c r="G20" s="144">
        <f t="shared" si="29"/>
        <v>0</v>
      </c>
      <c r="H20" s="144">
        <f t="shared" si="29"/>
        <v>0</v>
      </c>
      <c r="I20" s="144">
        <f t="shared" si="29"/>
        <v>0</v>
      </c>
      <c r="J20" s="144">
        <f t="shared" si="29"/>
        <v>0</v>
      </c>
      <c r="K20" s="144">
        <f t="shared" si="29"/>
        <v>0</v>
      </c>
      <c r="L20" s="144">
        <f t="shared" si="29"/>
        <v>0</v>
      </c>
      <c r="M20" s="144">
        <f t="shared" si="29"/>
        <v>0</v>
      </c>
      <c r="N20" s="144">
        <f t="shared" si="29"/>
        <v>0</v>
      </c>
      <c r="O20" s="71"/>
      <c r="P20" s="144">
        <f t="shared" si="21"/>
        <v>0</v>
      </c>
      <c r="Q20" s="144">
        <v>0</v>
      </c>
      <c r="R20" s="144">
        <v>0</v>
      </c>
      <c r="S20" s="144">
        <v>0</v>
      </c>
      <c r="T20" s="144">
        <v>0</v>
      </c>
      <c r="U20" s="144">
        <v>0</v>
      </c>
      <c r="V20" s="144">
        <v>0</v>
      </c>
      <c r="W20" s="144">
        <v>0</v>
      </c>
      <c r="X20" s="144">
        <v>0</v>
      </c>
      <c r="Y20" s="144">
        <v>0</v>
      </c>
      <c r="Z20" s="144">
        <v>0</v>
      </c>
      <c r="AA20" s="144">
        <v>0</v>
      </c>
      <c r="AB20" s="144">
        <v>0</v>
      </c>
      <c r="AC20" s="71"/>
      <c r="AD20" s="144">
        <f t="shared" si="25"/>
        <v>0</v>
      </c>
      <c r="AE20" s="144">
        <v>0</v>
      </c>
      <c r="AF20" s="144">
        <v>0</v>
      </c>
      <c r="AG20" s="144">
        <v>0</v>
      </c>
      <c r="AH20" s="144">
        <v>0</v>
      </c>
      <c r="AI20" s="144">
        <v>0</v>
      </c>
      <c r="AJ20" s="144">
        <v>0</v>
      </c>
      <c r="AK20" s="144">
        <v>0</v>
      </c>
      <c r="AL20" s="144">
        <v>0</v>
      </c>
      <c r="AM20" s="144">
        <v>0</v>
      </c>
      <c r="AN20" s="144">
        <v>0</v>
      </c>
      <c r="AO20" s="144">
        <v>0</v>
      </c>
      <c r="AP20" s="144">
        <v>0</v>
      </c>
      <c r="AQ20" s="71"/>
      <c r="AR20" s="144">
        <f t="shared" si="26"/>
        <v>0</v>
      </c>
      <c r="AS20" s="144">
        <v>0</v>
      </c>
      <c r="AT20" s="144">
        <v>0</v>
      </c>
      <c r="AU20" s="144">
        <v>0</v>
      </c>
      <c r="AV20" s="144">
        <v>0</v>
      </c>
      <c r="AW20" s="144">
        <v>0</v>
      </c>
      <c r="AX20" s="144">
        <v>0</v>
      </c>
      <c r="AY20" s="144">
        <v>0</v>
      </c>
      <c r="AZ20" s="144">
        <v>0</v>
      </c>
      <c r="BA20" s="144">
        <v>0</v>
      </c>
      <c r="BB20" s="144">
        <v>0</v>
      </c>
      <c r="BC20" s="144">
        <v>0</v>
      </c>
      <c r="BD20" s="144">
        <v>0</v>
      </c>
      <c r="BE20" s="94"/>
      <c r="BF20" s="144">
        <f t="shared" si="22"/>
        <v>1600000</v>
      </c>
      <c r="BG20" s="144">
        <v>1600000</v>
      </c>
      <c r="BH20" s="144">
        <v>0</v>
      </c>
      <c r="BI20" s="144">
        <v>0</v>
      </c>
      <c r="BJ20" s="144">
        <v>0</v>
      </c>
      <c r="BK20" s="144">
        <v>0</v>
      </c>
      <c r="BL20" s="144">
        <v>0</v>
      </c>
      <c r="BM20" s="144">
        <v>0</v>
      </c>
      <c r="BN20" s="144">
        <v>0</v>
      </c>
      <c r="BO20" s="144">
        <v>0</v>
      </c>
      <c r="BP20" s="144">
        <v>0</v>
      </c>
      <c r="BQ20" s="144">
        <v>0</v>
      </c>
      <c r="BR20" s="144">
        <v>0</v>
      </c>
      <c r="BS20" s="94"/>
      <c r="BT20" s="144">
        <f t="shared" si="23"/>
        <v>0</v>
      </c>
      <c r="BU20" s="144">
        <v>0</v>
      </c>
      <c r="BV20" s="144">
        <v>0</v>
      </c>
      <c r="BW20" s="144">
        <v>0</v>
      </c>
      <c r="BX20" s="144">
        <v>0</v>
      </c>
      <c r="BY20" s="144">
        <v>0</v>
      </c>
      <c r="BZ20" s="144">
        <v>0</v>
      </c>
      <c r="CB20" s="144"/>
    </row>
    <row r="21" spans="1:80" hidden="1">
      <c r="A21" s="479" t="s">
        <v>572</v>
      </c>
      <c r="B21" s="144">
        <f t="shared" si="24"/>
        <v>0</v>
      </c>
      <c r="C21" s="144">
        <f t="shared" si="29"/>
        <v>0</v>
      </c>
      <c r="D21" s="144">
        <f t="shared" si="29"/>
        <v>0</v>
      </c>
      <c r="E21" s="144">
        <f t="shared" si="29"/>
        <v>0</v>
      </c>
      <c r="F21" s="144">
        <f t="shared" si="29"/>
        <v>0</v>
      </c>
      <c r="G21" s="144">
        <f t="shared" si="29"/>
        <v>0</v>
      </c>
      <c r="H21" s="144">
        <f t="shared" si="29"/>
        <v>0</v>
      </c>
      <c r="I21" s="144">
        <f t="shared" si="29"/>
        <v>0</v>
      </c>
      <c r="J21" s="144">
        <f t="shared" si="29"/>
        <v>0</v>
      </c>
      <c r="K21" s="144">
        <f t="shared" si="29"/>
        <v>0</v>
      </c>
      <c r="L21" s="144">
        <f t="shared" si="29"/>
        <v>0</v>
      </c>
      <c r="M21" s="144">
        <f t="shared" si="29"/>
        <v>0</v>
      </c>
      <c r="N21" s="144">
        <f t="shared" si="29"/>
        <v>0</v>
      </c>
      <c r="O21" s="71"/>
      <c r="P21" s="144">
        <f t="shared" si="21"/>
        <v>0</v>
      </c>
      <c r="Q21" s="144">
        <v>0</v>
      </c>
      <c r="R21" s="144">
        <v>0</v>
      </c>
      <c r="S21" s="144">
        <v>0</v>
      </c>
      <c r="T21" s="144">
        <v>0</v>
      </c>
      <c r="U21" s="144">
        <v>0</v>
      </c>
      <c r="V21" s="144">
        <v>0</v>
      </c>
      <c r="W21" s="144">
        <v>0</v>
      </c>
      <c r="X21" s="144">
        <v>0</v>
      </c>
      <c r="Y21" s="144">
        <v>0</v>
      </c>
      <c r="Z21" s="144">
        <v>0</v>
      </c>
      <c r="AA21" s="144">
        <v>0</v>
      </c>
      <c r="AB21" s="144">
        <v>0</v>
      </c>
      <c r="AC21" s="71"/>
      <c r="AD21" s="144">
        <f t="shared" si="25"/>
        <v>0</v>
      </c>
      <c r="AE21" s="144">
        <v>0</v>
      </c>
      <c r="AF21" s="144">
        <v>0</v>
      </c>
      <c r="AG21" s="144">
        <v>0</v>
      </c>
      <c r="AH21" s="144">
        <v>0</v>
      </c>
      <c r="AI21" s="144">
        <v>0</v>
      </c>
      <c r="AJ21" s="144">
        <v>0</v>
      </c>
      <c r="AK21" s="144">
        <v>0</v>
      </c>
      <c r="AL21" s="144">
        <v>0</v>
      </c>
      <c r="AM21" s="144">
        <v>0</v>
      </c>
      <c r="AN21" s="144">
        <v>0</v>
      </c>
      <c r="AO21" s="144">
        <v>0</v>
      </c>
      <c r="AP21" s="144">
        <v>0</v>
      </c>
      <c r="AQ21" s="71"/>
      <c r="AR21" s="144">
        <f t="shared" si="26"/>
        <v>0</v>
      </c>
      <c r="AS21" s="144">
        <v>0</v>
      </c>
      <c r="AT21" s="144">
        <v>0</v>
      </c>
      <c r="AU21" s="144">
        <v>0</v>
      </c>
      <c r="AV21" s="144">
        <v>0</v>
      </c>
      <c r="AW21" s="144">
        <v>0</v>
      </c>
      <c r="AX21" s="144">
        <v>0</v>
      </c>
      <c r="AY21" s="144">
        <v>0</v>
      </c>
      <c r="AZ21" s="144">
        <v>0</v>
      </c>
      <c r="BA21" s="144">
        <v>0</v>
      </c>
      <c r="BB21" s="144">
        <v>0</v>
      </c>
      <c r="BC21" s="144">
        <v>0</v>
      </c>
      <c r="BD21" s="144">
        <v>0</v>
      </c>
      <c r="BE21" s="94"/>
      <c r="BF21" s="144">
        <f t="shared" si="22"/>
        <v>360000</v>
      </c>
      <c r="BG21" s="144">
        <v>0</v>
      </c>
      <c r="BH21" s="144">
        <v>0</v>
      </c>
      <c r="BI21" s="144">
        <v>0</v>
      </c>
      <c r="BJ21" s="144">
        <v>360000</v>
      </c>
      <c r="BK21" s="144">
        <v>0</v>
      </c>
      <c r="BL21" s="144">
        <v>0</v>
      </c>
      <c r="BM21" s="144">
        <v>0</v>
      </c>
      <c r="BN21" s="144">
        <v>0</v>
      </c>
      <c r="BO21" s="144">
        <v>0</v>
      </c>
      <c r="BP21" s="144">
        <v>0</v>
      </c>
      <c r="BQ21" s="144">
        <v>0</v>
      </c>
      <c r="BR21" s="144">
        <v>0</v>
      </c>
      <c r="BS21" s="94"/>
      <c r="BT21" s="144">
        <f t="shared" si="23"/>
        <v>0</v>
      </c>
      <c r="BU21" s="144">
        <v>0</v>
      </c>
      <c r="BV21" s="144">
        <v>0</v>
      </c>
      <c r="BW21" s="144">
        <v>0</v>
      </c>
      <c r="BX21" s="144">
        <v>0</v>
      </c>
      <c r="BY21" s="144">
        <v>0</v>
      </c>
      <c r="BZ21" s="144">
        <v>0</v>
      </c>
      <c r="CB21" s="144"/>
    </row>
    <row r="22" spans="1:80" hidden="1">
      <c r="A22" s="482" t="s">
        <v>586</v>
      </c>
      <c r="B22" s="144">
        <f t="shared" si="24"/>
        <v>0</v>
      </c>
      <c r="C22" s="144">
        <f t="shared" si="29"/>
        <v>0</v>
      </c>
      <c r="D22" s="144">
        <f t="shared" si="29"/>
        <v>0</v>
      </c>
      <c r="E22" s="144">
        <f t="shared" si="29"/>
        <v>0</v>
      </c>
      <c r="F22" s="144">
        <f t="shared" si="29"/>
        <v>0</v>
      </c>
      <c r="G22" s="144">
        <f t="shared" si="29"/>
        <v>0</v>
      </c>
      <c r="H22" s="144">
        <f t="shared" si="29"/>
        <v>0</v>
      </c>
      <c r="I22" s="144">
        <f t="shared" si="29"/>
        <v>0</v>
      </c>
      <c r="J22" s="144">
        <f t="shared" si="29"/>
        <v>0</v>
      </c>
      <c r="K22" s="144">
        <f t="shared" si="29"/>
        <v>0</v>
      </c>
      <c r="L22" s="144">
        <f t="shared" si="29"/>
        <v>0</v>
      </c>
      <c r="M22" s="144">
        <f t="shared" si="29"/>
        <v>0</v>
      </c>
      <c r="N22" s="144">
        <f t="shared" si="29"/>
        <v>0</v>
      </c>
      <c r="O22" s="71"/>
      <c r="P22" s="144">
        <f t="shared" si="21"/>
        <v>0</v>
      </c>
      <c r="Q22" s="144">
        <v>0</v>
      </c>
      <c r="R22" s="144">
        <v>0</v>
      </c>
      <c r="S22" s="144">
        <v>0</v>
      </c>
      <c r="T22" s="144">
        <v>0</v>
      </c>
      <c r="U22" s="144">
        <v>0</v>
      </c>
      <c r="V22" s="144">
        <v>0</v>
      </c>
      <c r="W22" s="144">
        <v>0</v>
      </c>
      <c r="X22" s="144">
        <v>0</v>
      </c>
      <c r="Y22" s="144">
        <v>0</v>
      </c>
      <c r="Z22" s="144">
        <v>0</v>
      </c>
      <c r="AA22" s="144">
        <v>0</v>
      </c>
      <c r="AB22" s="144">
        <v>0</v>
      </c>
      <c r="AC22" s="71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71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9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94"/>
      <c r="BT22" s="144">
        <v>18403361</v>
      </c>
      <c r="BU22" s="144"/>
      <c r="BV22" s="144"/>
      <c r="BW22" s="144"/>
      <c r="BX22" s="144"/>
      <c r="BY22" s="144"/>
      <c r="BZ22" s="144"/>
      <c r="CB22" s="144"/>
    </row>
    <row r="23" spans="1:80">
      <c r="A23" s="479" t="s">
        <v>573</v>
      </c>
      <c r="B23" s="144">
        <f t="shared" si="24"/>
        <v>0</v>
      </c>
      <c r="C23" s="144">
        <v>0</v>
      </c>
      <c r="D23" s="144">
        <v>0</v>
      </c>
      <c r="E23" s="144">
        <v>0</v>
      </c>
      <c r="F23" s="144">
        <v>0</v>
      </c>
      <c r="G23" s="144">
        <v>0</v>
      </c>
      <c r="H23" s="144">
        <v>0</v>
      </c>
      <c r="I23" s="144">
        <v>0</v>
      </c>
      <c r="J23" s="144">
        <v>0</v>
      </c>
      <c r="K23" s="144">
        <v>0</v>
      </c>
      <c r="L23" s="144">
        <v>0</v>
      </c>
      <c r="M23" s="144">
        <v>0</v>
      </c>
      <c r="N23" s="144">
        <v>0</v>
      </c>
      <c r="O23" s="71"/>
      <c r="P23" s="144">
        <f t="shared" si="21"/>
        <v>0</v>
      </c>
      <c r="Q23" s="144">
        <v>0</v>
      </c>
      <c r="R23" s="144">
        <v>0</v>
      </c>
      <c r="S23" s="144">
        <v>0</v>
      </c>
      <c r="T23" s="144">
        <v>0</v>
      </c>
      <c r="U23" s="144">
        <v>0</v>
      </c>
      <c r="V23" s="144">
        <v>0</v>
      </c>
      <c r="W23" s="144">
        <v>0</v>
      </c>
      <c r="X23" s="144">
        <v>0</v>
      </c>
      <c r="Y23" s="144">
        <v>0</v>
      </c>
      <c r="Z23" s="144">
        <v>0</v>
      </c>
      <c r="AA23" s="144">
        <v>0</v>
      </c>
      <c r="AB23" s="144">
        <v>0</v>
      </c>
      <c r="AC23" s="71"/>
      <c r="AD23" s="144">
        <f t="shared" si="25"/>
        <v>0</v>
      </c>
      <c r="AE23" s="144">
        <v>0</v>
      </c>
      <c r="AF23" s="144">
        <v>0</v>
      </c>
      <c r="AG23" s="144">
        <v>0</v>
      </c>
      <c r="AH23" s="144">
        <v>0</v>
      </c>
      <c r="AI23" s="144">
        <v>0</v>
      </c>
      <c r="AJ23" s="144">
        <v>0</v>
      </c>
      <c r="AK23" s="144">
        <v>0</v>
      </c>
      <c r="AL23" s="144">
        <v>0</v>
      </c>
      <c r="AM23" s="144">
        <v>0</v>
      </c>
      <c r="AN23" s="144">
        <v>0</v>
      </c>
      <c r="AO23" s="144">
        <v>0</v>
      </c>
      <c r="AP23" s="144">
        <v>0</v>
      </c>
      <c r="AQ23" s="71"/>
      <c r="AR23" s="144">
        <f t="shared" si="26"/>
        <v>420168</v>
      </c>
      <c r="AS23" s="144">
        <v>0</v>
      </c>
      <c r="AT23" s="144">
        <v>0</v>
      </c>
      <c r="AU23" s="144">
        <v>0</v>
      </c>
      <c r="AV23" s="144">
        <v>0</v>
      </c>
      <c r="AW23" s="144">
        <v>0</v>
      </c>
      <c r="AX23" s="144">
        <v>0</v>
      </c>
      <c r="AY23" s="144">
        <v>0</v>
      </c>
      <c r="AZ23" s="144">
        <v>0</v>
      </c>
      <c r="BA23" s="144">
        <v>0</v>
      </c>
      <c r="BB23" s="144">
        <v>0</v>
      </c>
      <c r="BC23" s="144">
        <v>0</v>
      </c>
      <c r="BD23" s="144">
        <v>420168</v>
      </c>
      <c r="BE23" s="94"/>
      <c r="BF23" s="144">
        <f t="shared" si="22"/>
        <v>840336</v>
      </c>
      <c r="BG23" s="144">
        <v>420168</v>
      </c>
      <c r="BH23" s="144">
        <v>0</v>
      </c>
      <c r="BI23" s="144">
        <v>0</v>
      </c>
      <c r="BJ23" s="144">
        <v>420168</v>
      </c>
      <c r="BK23" s="144">
        <v>0</v>
      </c>
      <c r="BL23" s="144">
        <v>0</v>
      </c>
      <c r="BM23" s="144">
        <v>0</v>
      </c>
      <c r="BN23" s="144">
        <v>0</v>
      </c>
      <c r="BO23" s="144">
        <v>0</v>
      </c>
      <c r="BP23" s="144">
        <v>0</v>
      </c>
      <c r="BQ23" s="144">
        <v>0</v>
      </c>
      <c r="BR23" s="144">
        <v>0</v>
      </c>
      <c r="BS23" s="94"/>
      <c r="BT23" s="144">
        <f t="shared" si="23"/>
        <v>0</v>
      </c>
      <c r="BU23" s="144">
        <v>0</v>
      </c>
      <c r="BV23" s="144">
        <v>0</v>
      </c>
      <c r="BW23" s="144">
        <v>0</v>
      </c>
      <c r="BX23" s="144">
        <v>0</v>
      </c>
      <c r="BY23" s="144">
        <v>0</v>
      </c>
      <c r="BZ23" s="144">
        <v>0</v>
      </c>
      <c r="CB23" s="144"/>
    </row>
    <row r="24" spans="1:80">
      <c r="A24" s="479" t="s">
        <v>574</v>
      </c>
      <c r="B24" s="144">
        <f t="shared" si="24"/>
        <v>0</v>
      </c>
      <c r="C24" s="144">
        <v>0</v>
      </c>
      <c r="D24" s="144">
        <v>0</v>
      </c>
      <c r="E24" s="144">
        <v>0</v>
      </c>
      <c r="F24" s="144">
        <v>0</v>
      </c>
      <c r="G24" s="144">
        <v>0</v>
      </c>
      <c r="H24" s="144">
        <v>0</v>
      </c>
      <c r="I24" s="144">
        <v>0</v>
      </c>
      <c r="J24" s="144">
        <v>0</v>
      </c>
      <c r="K24" s="144">
        <v>0</v>
      </c>
      <c r="L24" s="144">
        <v>0</v>
      </c>
      <c r="M24" s="144">
        <v>0</v>
      </c>
      <c r="N24" s="144">
        <v>0</v>
      </c>
      <c r="O24" s="71"/>
      <c r="P24" s="144">
        <f t="shared" si="21"/>
        <v>0</v>
      </c>
      <c r="Q24" s="144">
        <v>0</v>
      </c>
      <c r="R24" s="144">
        <v>0</v>
      </c>
      <c r="S24" s="144">
        <v>0</v>
      </c>
      <c r="T24" s="144">
        <v>0</v>
      </c>
      <c r="U24" s="144">
        <v>0</v>
      </c>
      <c r="V24" s="144">
        <v>0</v>
      </c>
      <c r="W24" s="144">
        <v>0</v>
      </c>
      <c r="X24" s="144">
        <v>0</v>
      </c>
      <c r="Y24" s="144">
        <v>0</v>
      </c>
      <c r="Z24" s="144">
        <v>0</v>
      </c>
      <c r="AA24" s="144">
        <v>0</v>
      </c>
      <c r="AB24" s="144">
        <v>0</v>
      </c>
      <c r="AC24" s="71"/>
      <c r="AD24" s="144">
        <f t="shared" si="25"/>
        <v>540000</v>
      </c>
      <c r="AE24" s="144">
        <v>0</v>
      </c>
      <c r="AF24" s="144">
        <v>0</v>
      </c>
      <c r="AG24" s="144">
        <v>0</v>
      </c>
      <c r="AH24" s="144">
        <v>0</v>
      </c>
      <c r="AI24" s="144">
        <v>0</v>
      </c>
      <c r="AJ24" s="144">
        <v>0</v>
      </c>
      <c r="AK24" s="144">
        <v>0</v>
      </c>
      <c r="AL24" s="144">
        <v>0</v>
      </c>
      <c r="AM24" s="144">
        <v>0</v>
      </c>
      <c r="AN24" s="144">
        <v>540000</v>
      </c>
      <c r="AO24" s="144">
        <v>0</v>
      </c>
      <c r="AP24" s="144">
        <v>0</v>
      </c>
      <c r="AQ24" s="71"/>
      <c r="AR24" s="144">
        <f t="shared" si="26"/>
        <v>0</v>
      </c>
      <c r="AS24" s="144">
        <v>0</v>
      </c>
      <c r="AT24" s="144">
        <v>0</v>
      </c>
      <c r="AU24" s="144">
        <v>0</v>
      </c>
      <c r="AV24" s="144">
        <v>0</v>
      </c>
      <c r="AW24" s="144">
        <v>0</v>
      </c>
      <c r="AX24" s="144">
        <v>0</v>
      </c>
      <c r="AY24" s="144">
        <v>0</v>
      </c>
      <c r="AZ24" s="144">
        <v>0</v>
      </c>
      <c r="BA24" s="144">
        <v>0</v>
      </c>
      <c r="BB24" s="144">
        <v>0</v>
      </c>
      <c r="BC24" s="144">
        <v>0</v>
      </c>
      <c r="BD24" s="144">
        <v>0</v>
      </c>
      <c r="BE24" s="94"/>
      <c r="BF24" s="144">
        <f t="shared" si="22"/>
        <v>0</v>
      </c>
      <c r="BG24" s="144">
        <v>0</v>
      </c>
      <c r="BH24" s="144">
        <v>0</v>
      </c>
      <c r="BI24" s="144">
        <v>0</v>
      </c>
      <c r="BJ24" s="144">
        <v>0</v>
      </c>
      <c r="BK24" s="144">
        <v>0</v>
      </c>
      <c r="BL24" s="144">
        <v>0</v>
      </c>
      <c r="BM24" s="144">
        <v>0</v>
      </c>
      <c r="BN24" s="144">
        <v>0</v>
      </c>
      <c r="BO24" s="144">
        <v>0</v>
      </c>
      <c r="BP24" s="144">
        <v>0</v>
      </c>
      <c r="BQ24" s="144">
        <v>0</v>
      </c>
      <c r="BR24" s="144">
        <v>0</v>
      </c>
      <c r="BS24" s="94"/>
      <c r="BT24" s="144">
        <f t="shared" si="23"/>
        <v>0</v>
      </c>
      <c r="BU24" s="144">
        <v>0</v>
      </c>
      <c r="BV24" s="144">
        <v>0</v>
      </c>
      <c r="BW24" s="144">
        <v>0</v>
      </c>
      <c r="BX24" s="144">
        <v>0</v>
      </c>
      <c r="BY24" s="144">
        <v>0</v>
      </c>
      <c r="BZ24" s="144">
        <v>0</v>
      </c>
      <c r="CB24" s="144"/>
    </row>
    <row r="25" spans="1:80">
      <c r="A25" s="479" t="s">
        <v>575</v>
      </c>
      <c r="B25" s="144">
        <f t="shared" si="24"/>
        <v>0</v>
      </c>
      <c r="C25" s="144">
        <v>0</v>
      </c>
      <c r="D25" s="144">
        <v>0</v>
      </c>
      <c r="E25" s="144">
        <v>0</v>
      </c>
      <c r="F25" s="144">
        <v>0</v>
      </c>
      <c r="G25" s="144">
        <v>0</v>
      </c>
      <c r="H25" s="144">
        <v>0</v>
      </c>
      <c r="I25" s="144">
        <v>0</v>
      </c>
      <c r="J25" s="144">
        <v>0</v>
      </c>
      <c r="K25" s="144">
        <v>0</v>
      </c>
      <c r="L25" s="144">
        <v>0</v>
      </c>
      <c r="M25" s="144">
        <v>0</v>
      </c>
      <c r="N25" s="144">
        <v>0</v>
      </c>
      <c r="O25" s="71"/>
      <c r="P25" s="144">
        <f t="shared" si="21"/>
        <v>0</v>
      </c>
      <c r="Q25" s="144">
        <v>0</v>
      </c>
      <c r="R25" s="144">
        <v>0</v>
      </c>
      <c r="S25" s="144">
        <v>0</v>
      </c>
      <c r="T25" s="144">
        <v>0</v>
      </c>
      <c r="U25" s="144">
        <v>0</v>
      </c>
      <c r="V25" s="144">
        <v>0</v>
      </c>
      <c r="W25" s="144">
        <v>0</v>
      </c>
      <c r="X25" s="144">
        <v>0</v>
      </c>
      <c r="Y25" s="144">
        <v>0</v>
      </c>
      <c r="Z25" s="144">
        <v>0</v>
      </c>
      <c r="AA25" s="144">
        <v>0</v>
      </c>
      <c r="AB25" s="144">
        <v>0</v>
      </c>
      <c r="AC25" s="71"/>
      <c r="AD25" s="144">
        <f t="shared" si="25"/>
        <v>2820000</v>
      </c>
      <c r="AE25" s="144">
        <v>0</v>
      </c>
      <c r="AF25" s="144">
        <v>0</v>
      </c>
      <c r="AG25" s="144">
        <v>0</v>
      </c>
      <c r="AH25" s="144">
        <v>0</v>
      </c>
      <c r="AI25" s="144">
        <v>0</v>
      </c>
      <c r="AJ25" s="144">
        <v>470000</v>
      </c>
      <c r="AK25" s="144">
        <v>0</v>
      </c>
      <c r="AL25" s="144">
        <v>940000</v>
      </c>
      <c r="AM25" s="144"/>
      <c r="AN25" s="144">
        <v>940000</v>
      </c>
      <c r="AO25" s="144"/>
      <c r="AP25" s="144">
        <v>470000</v>
      </c>
      <c r="AQ25" s="71"/>
      <c r="AR25" s="144">
        <f t="shared" si="26"/>
        <v>5940000</v>
      </c>
      <c r="AS25" s="144">
        <v>470000</v>
      </c>
      <c r="AT25" s="144">
        <v>470000</v>
      </c>
      <c r="AU25" s="144">
        <v>470000</v>
      </c>
      <c r="AV25" s="144">
        <v>470000</v>
      </c>
      <c r="AW25" s="144">
        <v>470000</v>
      </c>
      <c r="AX25" s="144">
        <v>470000</v>
      </c>
      <c r="AY25" s="144">
        <v>520000</v>
      </c>
      <c r="AZ25" s="144">
        <v>520000</v>
      </c>
      <c r="BA25" s="144">
        <v>1040000</v>
      </c>
      <c r="BB25" s="144">
        <v>520000</v>
      </c>
      <c r="BC25" s="144">
        <v>0</v>
      </c>
      <c r="BD25" s="144">
        <v>520000</v>
      </c>
      <c r="BE25" s="94"/>
      <c r="BF25" s="144">
        <f t="shared" si="22"/>
        <v>3088680</v>
      </c>
      <c r="BG25" s="144">
        <v>520000</v>
      </c>
      <c r="BH25" s="144">
        <v>520000</v>
      </c>
      <c r="BI25" s="144">
        <v>520000</v>
      </c>
      <c r="BJ25" s="144">
        <v>0</v>
      </c>
      <c r="BK25" s="144">
        <v>520000</v>
      </c>
      <c r="BL25" s="144">
        <v>0</v>
      </c>
      <c r="BM25" s="144">
        <v>0</v>
      </c>
      <c r="BN25" s="144">
        <v>0</v>
      </c>
      <c r="BO25" s="144">
        <v>504800</v>
      </c>
      <c r="BP25" s="144">
        <v>503880</v>
      </c>
      <c r="BQ25" s="144">
        <v>0</v>
      </c>
      <c r="BR25" s="144">
        <v>0</v>
      </c>
      <c r="BS25" s="94"/>
      <c r="BT25" s="144">
        <v>499500</v>
      </c>
      <c r="BU25" s="144">
        <v>0</v>
      </c>
      <c r="BV25" s="144">
        <v>0</v>
      </c>
      <c r="BW25" s="144">
        <v>0</v>
      </c>
      <c r="BX25" s="144">
        <v>0</v>
      </c>
      <c r="BY25" s="144">
        <v>0</v>
      </c>
      <c r="BZ25" s="144">
        <v>0</v>
      </c>
      <c r="CB25" s="144"/>
    </row>
    <row r="26" spans="1:80">
      <c r="A26" s="479" t="s">
        <v>576</v>
      </c>
      <c r="B26" s="144">
        <f t="shared" si="24"/>
        <v>0</v>
      </c>
      <c r="C26" s="144">
        <v>0</v>
      </c>
      <c r="D26" s="144">
        <v>0</v>
      </c>
      <c r="E26" s="144">
        <v>0</v>
      </c>
      <c r="F26" s="144">
        <v>0</v>
      </c>
      <c r="G26" s="144">
        <v>0</v>
      </c>
      <c r="H26" s="144">
        <v>0</v>
      </c>
      <c r="I26" s="144">
        <v>0</v>
      </c>
      <c r="J26" s="144">
        <v>0</v>
      </c>
      <c r="K26" s="144">
        <v>0</v>
      </c>
      <c r="L26" s="144">
        <v>0</v>
      </c>
      <c r="M26" s="144">
        <v>0</v>
      </c>
      <c r="N26" s="144">
        <v>0</v>
      </c>
      <c r="O26" s="71"/>
      <c r="P26" s="144">
        <f t="shared" si="21"/>
        <v>0</v>
      </c>
      <c r="Q26" s="144">
        <v>0</v>
      </c>
      <c r="R26" s="144">
        <v>0</v>
      </c>
      <c r="S26" s="144">
        <v>0</v>
      </c>
      <c r="T26" s="144">
        <v>0</v>
      </c>
      <c r="U26" s="144">
        <v>0</v>
      </c>
      <c r="V26" s="144">
        <v>0</v>
      </c>
      <c r="W26" s="144">
        <v>0</v>
      </c>
      <c r="X26" s="144">
        <v>0</v>
      </c>
      <c r="Y26" s="144">
        <v>0</v>
      </c>
      <c r="Z26" s="144">
        <v>0</v>
      </c>
      <c r="AA26" s="144">
        <v>0</v>
      </c>
      <c r="AB26" s="144">
        <v>0</v>
      </c>
      <c r="AC26" s="71"/>
      <c r="AD26" s="144">
        <f t="shared" si="25"/>
        <v>1620000</v>
      </c>
      <c r="AE26" s="144">
        <v>0</v>
      </c>
      <c r="AF26" s="144">
        <v>0</v>
      </c>
      <c r="AG26" s="144">
        <v>0</v>
      </c>
      <c r="AH26" s="144">
        <v>0</v>
      </c>
      <c r="AI26" s="144">
        <v>0</v>
      </c>
      <c r="AJ26" s="144">
        <v>0</v>
      </c>
      <c r="AK26" s="144">
        <v>0</v>
      </c>
      <c r="AL26" s="144">
        <v>0</v>
      </c>
      <c r="AM26" s="144">
        <v>540000</v>
      </c>
      <c r="AN26" s="144">
        <v>540000</v>
      </c>
      <c r="AO26" s="144">
        <v>540000</v>
      </c>
      <c r="AP26" s="144">
        <v>0</v>
      </c>
      <c r="AQ26" s="71"/>
      <c r="AR26" s="144">
        <f t="shared" si="26"/>
        <v>0</v>
      </c>
      <c r="AS26" s="144">
        <v>0</v>
      </c>
      <c r="AT26" s="144">
        <v>0</v>
      </c>
      <c r="AU26" s="144">
        <v>0</v>
      </c>
      <c r="AV26" s="144">
        <v>0</v>
      </c>
      <c r="AW26" s="144">
        <v>0</v>
      </c>
      <c r="AX26" s="144">
        <v>0</v>
      </c>
      <c r="AY26" s="144">
        <v>0</v>
      </c>
      <c r="AZ26" s="144">
        <v>0</v>
      </c>
      <c r="BA26" s="144">
        <v>0</v>
      </c>
      <c r="BB26" s="144">
        <v>0</v>
      </c>
      <c r="BC26" s="144">
        <v>0</v>
      </c>
      <c r="BD26" s="144">
        <v>0</v>
      </c>
      <c r="BE26" s="94"/>
      <c r="BF26" s="144">
        <f t="shared" si="22"/>
        <v>0</v>
      </c>
      <c r="BG26" s="144">
        <v>0</v>
      </c>
      <c r="BH26" s="144">
        <v>0</v>
      </c>
      <c r="BI26" s="144">
        <v>0</v>
      </c>
      <c r="BJ26" s="144">
        <v>0</v>
      </c>
      <c r="BK26" s="144">
        <v>0</v>
      </c>
      <c r="BL26" s="144">
        <v>0</v>
      </c>
      <c r="BM26" s="144">
        <v>0</v>
      </c>
      <c r="BN26" s="144">
        <v>0</v>
      </c>
      <c r="BO26" s="144">
        <v>0</v>
      </c>
      <c r="BP26" s="144">
        <v>0</v>
      </c>
      <c r="BQ26" s="144">
        <v>0</v>
      </c>
      <c r="BR26" s="144">
        <v>0</v>
      </c>
      <c r="BS26" s="94"/>
      <c r="BT26" s="144">
        <f t="shared" si="23"/>
        <v>0</v>
      </c>
      <c r="BU26" s="144">
        <v>0</v>
      </c>
      <c r="BV26" s="144">
        <v>0</v>
      </c>
      <c r="BW26" s="144">
        <v>0</v>
      </c>
      <c r="BX26" s="144">
        <v>0</v>
      </c>
      <c r="BY26" s="144">
        <v>0</v>
      </c>
      <c r="BZ26" s="144">
        <v>0</v>
      </c>
      <c r="CB26" s="144"/>
    </row>
    <row r="27" spans="1:80">
      <c r="A27" s="479" t="s">
        <v>577</v>
      </c>
      <c r="B27" s="144">
        <f t="shared" si="24"/>
        <v>0</v>
      </c>
      <c r="C27" s="144">
        <v>0</v>
      </c>
      <c r="D27" s="144">
        <v>0</v>
      </c>
      <c r="E27" s="144">
        <v>0</v>
      </c>
      <c r="F27" s="144">
        <v>0</v>
      </c>
      <c r="G27" s="144">
        <v>0</v>
      </c>
      <c r="H27" s="144">
        <v>0</v>
      </c>
      <c r="I27" s="144">
        <v>0</v>
      </c>
      <c r="J27" s="144">
        <v>0</v>
      </c>
      <c r="K27" s="144">
        <v>0</v>
      </c>
      <c r="L27" s="144">
        <v>0</v>
      </c>
      <c r="M27" s="144">
        <v>0</v>
      </c>
      <c r="N27" s="144">
        <v>0</v>
      </c>
      <c r="O27" s="71"/>
      <c r="P27" s="144">
        <f t="shared" si="21"/>
        <v>0</v>
      </c>
      <c r="Q27" s="144">
        <v>0</v>
      </c>
      <c r="R27" s="144">
        <v>0</v>
      </c>
      <c r="S27" s="144">
        <v>0</v>
      </c>
      <c r="T27" s="144">
        <v>0</v>
      </c>
      <c r="U27" s="144">
        <v>0</v>
      </c>
      <c r="V27" s="144">
        <v>0</v>
      </c>
      <c r="W27" s="144">
        <v>0</v>
      </c>
      <c r="X27" s="144">
        <v>0</v>
      </c>
      <c r="Y27" s="144">
        <v>0</v>
      </c>
      <c r="Z27" s="144">
        <v>0</v>
      </c>
      <c r="AA27" s="144">
        <v>0</v>
      </c>
      <c r="AB27" s="144">
        <v>0</v>
      </c>
      <c r="AC27" s="71"/>
      <c r="AD27" s="144">
        <f t="shared" si="25"/>
        <v>0</v>
      </c>
      <c r="AE27" s="144">
        <v>0</v>
      </c>
      <c r="AF27" s="144">
        <v>0</v>
      </c>
      <c r="AG27" s="144">
        <v>0</v>
      </c>
      <c r="AH27" s="144">
        <v>0</v>
      </c>
      <c r="AI27" s="144">
        <v>0</v>
      </c>
      <c r="AJ27" s="144">
        <v>0</v>
      </c>
      <c r="AK27" s="144">
        <v>0</v>
      </c>
      <c r="AL27" s="144">
        <v>0</v>
      </c>
      <c r="AM27" s="144">
        <v>0</v>
      </c>
      <c r="AN27" s="144">
        <v>0</v>
      </c>
      <c r="AO27" s="144">
        <v>0</v>
      </c>
      <c r="AP27" s="144">
        <v>0</v>
      </c>
      <c r="AQ27" s="71"/>
      <c r="AR27" s="144">
        <f t="shared" si="26"/>
        <v>350000</v>
      </c>
      <c r="AS27" s="144">
        <v>0</v>
      </c>
      <c r="AT27" s="144">
        <v>0</v>
      </c>
      <c r="AU27" s="144">
        <v>0</v>
      </c>
      <c r="AV27" s="144">
        <v>0</v>
      </c>
      <c r="AW27" s="144">
        <v>0</v>
      </c>
      <c r="AX27" s="144">
        <v>0</v>
      </c>
      <c r="AY27" s="144">
        <v>0</v>
      </c>
      <c r="AZ27" s="144">
        <v>0</v>
      </c>
      <c r="BA27" s="144">
        <v>0</v>
      </c>
      <c r="BB27" s="144">
        <v>0</v>
      </c>
      <c r="BC27" s="144">
        <v>350000</v>
      </c>
      <c r="BD27" s="144">
        <v>0</v>
      </c>
      <c r="BE27" s="94"/>
      <c r="BF27" s="144">
        <f t="shared" si="22"/>
        <v>0</v>
      </c>
      <c r="BG27" s="144">
        <v>0</v>
      </c>
      <c r="BH27" s="144">
        <v>0</v>
      </c>
      <c r="BI27" s="144">
        <v>0</v>
      </c>
      <c r="BJ27" s="144">
        <v>0</v>
      </c>
      <c r="BK27" s="144">
        <v>0</v>
      </c>
      <c r="BL27" s="144">
        <v>0</v>
      </c>
      <c r="BM27" s="144">
        <v>0</v>
      </c>
      <c r="BN27" s="144">
        <v>0</v>
      </c>
      <c r="BO27" s="144">
        <v>0</v>
      </c>
      <c r="BP27" s="144">
        <v>0</v>
      </c>
      <c r="BQ27" s="144">
        <v>0</v>
      </c>
      <c r="BR27" s="144">
        <v>0</v>
      </c>
      <c r="BS27" s="94"/>
      <c r="BT27" s="144">
        <f t="shared" si="23"/>
        <v>0</v>
      </c>
      <c r="BU27" s="144">
        <v>0</v>
      </c>
      <c r="BV27" s="144">
        <v>0</v>
      </c>
      <c r="BW27" s="144">
        <v>0</v>
      </c>
      <c r="BX27" s="144">
        <v>0</v>
      </c>
      <c r="BY27" s="144">
        <v>0</v>
      </c>
      <c r="BZ27" s="144">
        <v>0</v>
      </c>
      <c r="CB27" s="144"/>
    </row>
    <row r="28" spans="1:80" hidden="1">
      <c r="A28" s="479" t="s">
        <v>578</v>
      </c>
      <c r="B28" s="144">
        <f t="shared" si="24"/>
        <v>0</v>
      </c>
      <c r="C28" s="144">
        <f t="shared" ref="C28:N28" si="32">SUM(E28:P28)</f>
        <v>0</v>
      </c>
      <c r="D28" s="144">
        <f t="shared" si="32"/>
        <v>0</v>
      </c>
      <c r="E28" s="144">
        <f t="shared" si="32"/>
        <v>0</v>
      </c>
      <c r="F28" s="144">
        <f t="shared" si="32"/>
        <v>0</v>
      </c>
      <c r="G28" s="144">
        <f t="shared" si="32"/>
        <v>0</v>
      </c>
      <c r="H28" s="144">
        <f t="shared" si="32"/>
        <v>0</v>
      </c>
      <c r="I28" s="144">
        <f t="shared" si="32"/>
        <v>0</v>
      </c>
      <c r="J28" s="144">
        <f t="shared" si="32"/>
        <v>0</v>
      </c>
      <c r="K28" s="144">
        <f t="shared" si="32"/>
        <v>0</v>
      </c>
      <c r="L28" s="144">
        <f t="shared" si="32"/>
        <v>0</v>
      </c>
      <c r="M28" s="144">
        <f t="shared" si="32"/>
        <v>0</v>
      </c>
      <c r="N28" s="144">
        <f t="shared" si="32"/>
        <v>0</v>
      </c>
      <c r="O28" s="71"/>
      <c r="P28" s="144">
        <f t="shared" si="21"/>
        <v>0</v>
      </c>
      <c r="Q28" s="144">
        <v>0</v>
      </c>
      <c r="R28" s="144">
        <v>0</v>
      </c>
      <c r="S28" s="144">
        <v>0</v>
      </c>
      <c r="T28" s="144">
        <v>0</v>
      </c>
      <c r="U28" s="144">
        <v>0</v>
      </c>
      <c r="V28" s="144">
        <v>0</v>
      </c>
      <c r="W28" s="144">
        <v>0</v>
      </c>
      <c r="X28" s="144">
        <v>0</v>
      </c>
      <c r="Y28" s="144">
        <v>0</v>
      </c>
      <c r="Z28" s="144">
        <v>0</v>
      </c>
      <c r="AA28" s="144">
        <v>0</v>
      </c>
      <c r="AB28" s="144">
        <v>0</v>
      </c>
      <c r="AC28" s="71"/>
      <c r="AD28" s="144">
        <f t="shared" si="25"/>
        <v>0</v>
      </c>
      <c r="AE28" s="144">
        <v>0</v>
      </c>
      <c r="AF28" s="144">
        <v>0</v>
      </c>
      <c r="AG28" s="144">
        <v>0</v>
      </c>
      <c r="AH28" s="144">
        <v>0</v>
      </c>
      <c r="AI28" s="144">
        <v>0</v>
      </c>
      <c r="AJ28" s="144">
        <v>0</v>
      </c>
      <c r="AK28" s="144">
        <v>0</v>
      </c>
      <c r="AL28" s="144">
        <v>0</v>
      </c>
      <c r="AM28" s="144">
        <v>0</v>
      </c>
      <c r="AN28" s="144">
        <v>0</v>
      </c>
      <c r="AO28" s="144">
        <v>0</v>
      </c>
      <c r="AP28" s="144">
        <v>0</v>
      </c>
      <c r="AQ28" s="71"/>
      <c r="AR28" s="144">
        <f t="shared" si="26"/>
        <v>0</v>
      </c>
      <c r="AS28" s="144">
        <v>0</v>
      </c>
      <c r="AT28" s="144">
        <v>0</v>
      </c>
      <c r="AU28" s="144">
        <v>0</v>
      </c>
      <c r="AV28" s="144">
        <v>0</v>
      </c>
      <c r="AW28" s="144">
        <v>0</v>
      </c>
      <c r="AX28" s="144">
        <v>0</v>
      </c>
      <c r="AY28" s="144">
        <v>0</v>
      </c>
      <c r="AZ28" s="144">
        <v>0</v>
      </c>
      <c r="BA28" s="144">
        <v>0</v>
      </c>
      <c r="BB28" s="144">
        <v>0</v>
      </c>
      <c r="BC28" s="144">
        <v>0</v>
      </c>
      <c r="BD28" s="144">
        <v>0</v>
      </c>
      <c r="BE28" s="94"/>
      <c r="BF28" s="144">
        <f t="shared" si="22"/>
        <v>1176470</v>
      </c>
      <c r="BG28" s="144">
        <v>0</v>
      </c>
      <c r="BH28" s="144">
        <v>0</v>
      </c>
      <c r="BI28" s="144">
        <v>0</v>
      </c>
      <c r="BJ28" s="144">
        <v>588235</v>
      </c>
      <c r="BK28" s="144">
        <v>588235</v>
      </c>
      <c r="BL28" s="144">
        <v>0</v>
      </c>
      <c r="BM28" s="144">
        <v>0</v>
      </c>
      <c r="BN28" s="144">
        <v>0</v>
      </c>
      <c r="BO28" s="144">
        <v>0</v>
      </c>
      <c r="BP28" s="144">
        <v>0</v>
      </c>
      <c r="BQ28" s="144">
        <v>0</v>
      </c>
      <c r="BR28" s="144">
        <v>0</v>
      </c>
      <c r="BS28" s="94"/>
      <c r="BT28" s="144">
        <f t="shared" si="23"/>
        <v>0</v>
      </c>
      <c r="BU28" s="144">
        <v>0</v>
      </c>
      <c r="BV28" s="144">
        <v>0</v>
      </c>
      <c r="BW28" s="144">
        <v>0</v>
      </c>
      <c r="BX28" s="144">
        <v>0</v>
      </c>
      <c r="BY28" s="144">
        <v>0</v>
      </c>
      <c r="BZ28" s="144">
        <v>0</v>
      </c>
      <c r="CB28" s="144"/>
    </row>
    <row r="29" spans="1:80">
      <c r="A29" s="482" t="s">
        <v>601</v>
      </c>
      <c r="B29" s="144">
        <f t="shared" si="24"/>
        <v>0</v>
      </c>
      <c r="C29" s="144">
        <v>0</v>
      </c>
      <c r="D29" s="144">
        <v>0</v>
      </c>
      <c r="E29" s="144">
        <v>0</v>
      </c>
      <c r="F29" s="144">
        <v>0</v>
      </c>
      <c r="G29" s="144">
        <v>0</v>
      </c>
      <c r="H29" s="144">
        <v>0</v>
      </c>
      <c r="I29" s="144">
        <v>0</v>
      </c>
      <c r="J29" s="144">
        <v>0</v>
      </c>
      <c r="K29" s="144">
        <v>0</v>
      </c>
      <c r="L29" s="144">
        <v>0</v>
      </c>
      <c r="M29" s="144">
        <v>0</v>
      </c>
      <c r="N29" s="144">
        <v>0</v>
      </c>
      <c r="O29" s="71"/>
      <c r="P29" s="144">
        <f t="shared" si="21"/>
        <v>800000</v>
      </c>
      <c r="Q29" s="144">
        <v>0</v>
      </c>
      <c r="R29" s="144">
        <v>0</v>
      </c>
      <c r="S29" s="144">
        <v>0</v>
      </c>
      <c r="T29" s="144">
        <v>0</v>
      </c>
      <c r="U29" s="144">
        <v>0</v>
      </c>
      <c r="V29" s="144">
        <v>0</v>
      </c>
      <c r="W29" s="144">
        <v>0</v>
      </c>
      <c r="X29" s="144">
        <v>0</v>
      </c>
      <c r="Y29" s="144">
        <v>0</v>
      </c>
      <c r="Z29" s="144">
        <v>800000</v>
      </c>
      <c r="AA29" s="144">
        <v>0</v>
      </c>
      <c r="AB29" s="144">
        <v>0</v>
      </c>
      <c r="AC29" s="71"/>
      <c r="AD29" s="144">
        <v>0</v>
      </c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71"/>
      <c r="AR29" s="144">
        <v>0</v>
      </c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94"/>
      <c r="BF29" s="144">
        <v>0</v>
      </c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94"/>
      <c r="BT29" s="144"/>
      <c r="BU29" s="144"/>
      <c r="BV29" s="144"/>
      <c r="BW29" s="144"/>
      <c r="BX29" s="144"/>
      <c r="BY29" s="144"/>
      <c r="BZ29" s="144"/>
      <c r="CB29" s="144"/>
    </row>
    <row r="30" spans="1:80">
      <c r="A30" s="482" t="s">
        <v>602</v>
      </c>
      <c r="B30" s="144">
        <f t="shared" si="24"/>
        <v>0</v>
      </c>
      <c r="C30" s="144">
        <v>0</v>
      </c>
      <c r="D30" s="144">
        <v>0</v>
      </c>
      <c r="E30" s="144">
        <v>0</v>
      </c>
      <c r="F30" s="144">
        <v>0</v>
      </c>
      <c r="G30" s="144">
        <v>0</v>
      </c>
      <c r="H30" s="144">
        <v>0</v>
      </c>
      <c r="I30" s="144">
        <v>0</v>
      </c>
      <c r="J30" s="144">
        <v>0</v>
      </c>
      <c r="K30" s="144">
        <v>0</v>
      </c>
      <c r="L30" s="144">
        <v>0</v>
      </c>
      <c r="M30" s="144">
        <v>0</v>
      </c>
      <c r="N30" s="144">
        <v>0</v>
      </c>
      <c r="O30" s="71"/>
      <c r="P30" s="144">
        <f t="shared" si="21"/>
        <v>800000</v>
      </c>
      <c r="Q30" s="144">
        <v>0</v>
      </c>
      <c r="R30" s="144">
        <v>0</v>
      </c>
      <c r="S30" s="144">
        <v>0</v>
      </c>
      <c r="T30" s="144">
        <v>0</v>
      </c>
      <c r="U30" s="144">
        <v>0</v>
      </c>
      <c r="V30" s="144">
        <v>0</v>
      </c>
      <c r="W30" s="144">
        <v>0</v>
      </c>
      <c r="X30" s="144">
        <v>0</v>
      </c>
      <c r="Y30" s="144">
        <v>0</v>
      </c>
      <c r="Z30" s="144">
        <v>800000</v>
      </c>
      <c r="AA30" s="144">
        <v>0</v>
      </c>
      <c r="AB30" s="144">
        <v>0</v>
      </c>
      <c r="AC30" s="71"/>
      <c r="AD30" s="144">
        <v>0</v>
      </c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71"/>
      <c r="AR30" s="144">
        <v>0</v>
      </c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94"/>
      <c r="BF30" s="144">
        <v>0</v>
      </c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94"/>
      <c r="BT30" s="144"/>
      <c r="BU30" s="144"/>
      <c r="BV30" s="144"/>
      <c r="BW30" s="144"/>
      <c r="BX30" s="144"/>
      <c r="BY30" s="144"/>
      <c r="BZ30" s="144"/>
      <c r="CB30" s="144"/>
    </row>
    <row r="31" spans="1:80" hidden="1">
      <c r="A31" s="482" t="s">
        <v>581</v>
      </c>
      <c r="B31" s="144">
        <f t="shared" si="24"/>
        <v>0</v>
      </c>
      <c r="C31" s="144">
        <f t="shared" ref="C31:N32" si="33">SUM(E31:P31)</f>
        <v>0</v>
      </c>
      <c r="D31" s="144">
        <f t="shared" si="33"/>
        <v>0</v>
      </c>
      <c r="E31" s="144">
        <f t="shared" si="33"/>
        <v>0</v>
      </c>
      <c r="F31" s="144">
        <f t="shared" si="33"/>
        <v>0</v>
      </c>
      <c r="G31" s="144">
        <f t="shared" si="33"/>
        <v>0</v>
      </c>
      <c r="H31" s="144">
        <f t="shared" si="33"/>
        <v>0</v>
      </c>
      <c r="I31" s="144">
        <f t="shared" si="33"/>
        <v>0</v>
      </c>
      <c r="J31" s="144">
        <f t="shared" si="33"/>
        <v>0</v>
      </c>
      <c r="K31" s="144">
        <f t="shared" si="33"/>
        <v>0</v>
      </c>
      <c r="L31" s="144">
        <f t="shared" si="33"/>
        <v>0</v>
      </c>
      <c r="M31" s="144">
        <f t="shared" si="33"/>
        <v>0</v>
      </c>
      <c r="N31" s="144">
        <f t="shared" si="33"/>
        <v>0</v>
      </c>
      <c r="O31" s="71"/>
      <c r="P31" s="144">
        <f t="shared" si="21"/>
        <v>0</v>
      </c>
      <c r="Q31" s="144">
        <v>0</v>
      </c>
      <c r="R31" s="144">
        <v>0</v>
      </c>
      <c r="S31" s="144">
        <v>0</v>
      </c>
      <c r="T31" s="144">
        <v>0</v>
      </c>
      <c r="U31" s="144">
        <v>0</v>
      </c>
      <c r="V31" s="144">
        <v>0</v>
      </c>
      <c r="W31" s="144">
        <v>0</v>
      </c>
      <c r="X31" s="144">
        <v>0</v>
      </c>
      <c r="Y31" s="144">
        <v>0</v>
      </c>
      <c r="Z31" s="144">
        <v>0</v>
      </c>
      <c r="AA31" s="144">
        <v>0</v>
      </c>
      <c r="AB31" s="144">
        <v>0</v>
      </c>
      <c r="AC31" s="71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71"/>
      <c r="AR31" s="144">
        <v>0</v>
      </c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94"/>
      <c r="BF31" s="144">
        <f t="shared" si="22"/>
        <v>1137500</v>
      </c>
      <c r="BG31" s="144">
        <v>0</v>
      </c>
      <c r="BH31" s="144">
        <v>0</v>
      </c>
      <c r="BI31" s="144">
        <v>0</v>
      </c>
      <c r="BJ31" s="144">
        <v>0</v>
      </c>
      <c r="BK31" s="144">
        <v>1137500</v>
      </c>
      <c r="BL31" s="144">
        <v>0</v>
      </c>
      <c r="BM31" s="144">
        <v>0</v>
      </c>
      <c r="BN31" s="144">
        <v>0</v>
      </c>
      <c r="BO31" s="144">
        <v>0</v>
      </c>
      <c r="BP31" s="144">
        <v>0</v>
      </c>
      <c r="BQ31" s="144">
        <v>0</v>
      </c>
      <c r="BR31" s="144">
        <v>0</v>
      </c>
      <c r="BS31" s="94"/>
      <c r="BT31" s="144"/>
      <c r="BU31" s="144">
        <v>0</v>
      </c>
      <c r="BV31" s="144">
        <v>0</v>
      </c>
      <c r="BW31" s="144">
        <v>0</v>
      </c>
      <c r="BX31" s="144">
        <v>0</v>
      </c>
      <c r="BY31" s="144">
        <v>0</v>
      </c>
      <c r="BZ31" s="144">
        <v>0</v>
      </c>
      <c r="CB31" s="144"/>
    </row>
    <row r="32" spans="1:80" hidden="1">
      <c r="A32" s="479" t="s">
        <v>579</v>
      </c>
      <c r="B32" s="144">
        <f t="shared" si="24"/>
        <v>0</v>
      </c>
      <c r="C32" s="144">
        <f t="shared" si="33"/>
        <v>0</v>
      </c>
      <c r="D32" s="144">
        <f t="shared" si="33"/>
        <v>0</v>
      </c>
      <c r="E32" s="144">
        <f t="shared" si="33"/>
        <v>0</v>
      </c>
      <c r="F32" s="144">
        <f t="shared" si="33"/>
        <v>0</v>
      </c>
      <c r="G32" s="144">
        <f t="shared" si="33"/>
        <v>0</v>
      </c>
      <c r="H32" s="144">
        <f t="shared" si="33"/>
        <v>0</v>
      </c>
      <c r="I32" s="144">
        <f t="shared" si="33"/>
        <v>0</v>
      </c>
      <c r="J32" s="144">
        <f t="shared" si="33"/>
        <v>0</v>
      </c>
      <c r="K32" s="144">
        <f t="shared" si="33"/>
        <v>0</v>
      </c>
      <c r="L32" s="144">
        <f t="shared" si="33"/>
        <v>0</v>
      </c>
      <c r="M32" s="144">
        <f t="shared" si="33"/>
        <v>0</v>
      </c>
      <c r="N32" s="144">
        <f t="shared" si="33"/>
        <v>0</v>
      </c>
      <c r="O32" s="71"/>
      <c r="P32" s="144">
        <f t="shared" si="21"/>
        <v>0</v>
      </c>
      <c r="Q32" s="144">
        <v>0</v>
      </c>
      <c r="R32" s="144">
        <v>0</v>
      </c>
      <c r="S32" s="144">
        <v>0</v>
      </c>
      <c r="T32" s="144">
        <v>0</v>
      </c>
      <c r="U32" s="144">
        <v>0</v>
      </c>
      <c r="V32" s="144">
        <v>0</v>
      </c>
      <c r="W32" s="144">
        <v>0</v>
      </c>
      <c r="X32" s="144">
        <v>0</v>
      </c>
      <c r="Y32" s="144">
        <v>0</v>
      </c>
      <c r="Z32" s="144">
        <v>0</v>
      </c>
      <c r="AA32" s="144">
        <v>0</v>
      </c>
      <c r="AB32" s="144">
        <v>0</v>
      </c>
      <c r="AC32" s="71"/>
      <c r="AD32" s="144">
        <f t="shared" si="25"/>
        <v>0</v>
      </c>
      <c r="AE32" s="144">
        <v>0</v>
      </c>
      <c r="AF32" s="144">
        <v>0</v>
      </c>
      <c r="AG32" s="144">
        <v>0</v>
      </c>
      <c r="AH32" s="144">
        <v>0</v>
      </c>
      <c r="AI32" s="144">
        <v>0</v>
      </c>
      <c r="AJ32" s="144">
        <v>0</v>
      </c>
      <c r="AK32" s="144">
        <v>0</v>
      </c>
      <c r="AL32" s="144">
        <v>0</v>
      </c>
      <c r="AM32" s="144">
        <v>0</v>
      </c>
      <c r="AN32" s="144">
        <v>0</v>
      </c>
      <c r="AO32" s="144">
        <v>0</v>
      </c>
      <c r="AP32" s="144">
        <v>0</v>
      </c>
      <c r="AQ32" s="71"/>
      <c r="AR32" s="144">
        <f t="shared" si="26"/>
        <v>0</v>
      </c>
      <c r="AS32" s="144">
        <v>0</v>
      </c>
      <c r="AT32" s="144">
        <v>0</v>
      </c>
      <c r="AU32" s="144">
        <v>0</v>
      </c>
      <c r="AV32" s="144">
        <v>0</v>
      </c>
      <c r="AW32" s="144">
        <v>0</v>
      </c>
      <c r="AX32" s="144">
        <v>0</v>
      </c>
      <c r="AY32" s="144">
        <v>0</v>
      </c>
      <c r="AZ32" s="144">
        <v>0</v>
      </c>
      <c r="BA32" s="144">
        <v>0</v>
      </c>
      <c r="BB32" s="144">
        <v>0</v>
      </c>
      <c r="BC32" s="144">
        <v>0</v>
      </c>
      <c r="BD32" s="144">
        <v>0</v>
      </c>
      <c r="BE32" s="94"/>
      <c r="BF32" s="144">
        <f t="shared" si="22"/>
        <v>0</v>
      </c>
      <c r="BG32" s="144">
        <v>0</v>
      </c>
      <c r="BH32" s="144">
        <v>0</v>
      </c>
      <c r="BI32" s="144">
        <v>0</v>
      </c>
      <c r="BJ32" s="144">
        <v>0</v>
      </c>
      <c r="BK32" s="144">
        <v>0</v>
      </c>
      <c r="BL32" s="144">
        <v>0</v>
      </c>
      <c r="BM32" s="144">
        <v>0</v>
      </c>
      <c r="BN32" s="144">
        <v>0</v>
      </c>
      <c r="BO32" s="144">
        <v>0</v>
      </c>
      <c r="BP32" s="144">
        <v>0</v>
      </c>
      <c r="BQ32" s="144">
        <v>0</v>
      </c>
      <c r="BR32" s="144">
        <v>0</v>
      </c>
      <c r="BS32" s="94"/>
      <c r="BT32" s="144">
        <f t="shared" si="23"/>
        <v>0</v>
      </c>
      <c r="BU32" s="144">
        <v>0</v>
      </c>
      <c r="BV32" s="144">
        <v>0</v>
      </c>
      <c r="BW32" s="144">
        <v>0</v>
      </c>
      <c r="BX32" s="144">
        <v>0</v>
      </c>
      <c r="BY32" s="144">
        <v>0</v>
      </c>
      <c r="BZ32" s="144">
        <v>0</v>
      </c>
      <c r="CB32" s="144"/>
    </row>
    <row r="33" spans="1:80">
      <c r="A33" s="479" t="s">
        <v>471</v>
      </c>
      <c r="B33" s="144">
        <f t="shared" si="24"/>
        <v>0</v>
      </c>
      <c r="C33" s="144">
        <v>0</v>
      </c>
      <c r="D33" s="144">
        <v>0</v>
      </c>
      <c r="E33" s="144">
        <v>0</v>
      </c>
      <c r="F33" s="144">
        <v>0</v>
      </c>
      <c r="G33" s="144">
        <v>0</v>
      </c>
      <c r="H33" s="144">
        <v>0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71"/>
      <c r="P33" s="144">
        <f t="shared" si="21"/>
        <v>2940000</v>
      </c>
      <c r="Q33" s="144">
        <v>0</v>
      </c>
      <c r="R33" s="144">
        <v>0</v>
      </c>
      <c r="S33" s="144">
        <v>0</v>
      </c>
      <c r="T33" s="144">
        <v>0</v>
      </c>
      <c r="U33" s="144">
        <v>0</v>
      </c>
      <c r="V33" s="144">
        <v>420000</v>
      </c>
      <c r="W33" s="144">
        <v>840000</v>
      </c>
      <c r="X33" s="144">
        <v>0</v>
      </c>
      <c r="Y33" s="144">
        <v>420000</v>
      </c>
      <c r="Z33" s="144">
        <v>840000</v>
      </c>
      <c r="AA33" s="144">
        <v>0</v>
      </c>
      <c r="AB33" s="144">
        <v>420000</v>
      </c>
      <c r="AC33" s="71"/>
      <c r="AD33" s="144">
        <f t="shared" si="25"/>
        <v>5040000</v>
      </c>
      <c r="AE33" s="144">
        <v>420000</v>
      </c>
      <c r="AF33" s="144">
        <v>420000</v>
      </c>
      <c r="AG33" s="144">
        <v>420000</v>
      </c>
      <c r="AH33" s="144">
        <v>420000</v>
      </c>
      <c r="AI33" s="144">
        <v>420000</v>
      </c>
      <c r="AJ33" s="144">
        <v>840000</v>
      </c>
      <c r="AK33" s="144">
        <v>0</v>
      </c>
      <c r="AL33" s="144">
        <v>840000</v>
      </c>
      <c r="AM33" s="144">
        <v>0</v>
      </c>
      <c r="AN33" s="144">
        <v>840000</v>
      </c>
      <c r="AO33" s="144">
        <v>0</v>
      </c>
      <c r="AP33" s="144">
        <v>420000</v>
      </c>
      <c r="AQ33" s="71"/>
      <c r="AR33" s="144">
        <f t="shared" si="26"/>
        <v>4200000</v>
      </c>
      <c r="AS33" s="144">
        <v>420000</v>
      </c>
      <c r="AT33" s="144">
        <v>420000</v>
      </c>
      <c r="AU33" s="144">
        <v>420000</v>
      </c>
      <c r="AV33" s="144">
        <v>420000</v>
      </c>
      <c r="AW33" s="144">
        <v>420000</v>
      </c>
      <c r="AX33" s="144">
        <v>420000</v>
      </c>
      <c r="AY33" s="144">
        <v>420000</v>
      </c>
      <c r="AZ33" s="144">
        <v>420000</v>
      </c>
      <c r="BA33" s="144">
        <v>840000</v>
      </c>
      <c r="BB33" s="144">
        <v>0</v>
      </c>
      <c r="BC33" s="144">
        <v>0</v>
      </c>
      <c r="BD33" s="144">
        <v>0</v>
      </c>
      <c r="BE33" s="94"/>
      <c r="BF33" s="144">
        <f t="shared" si="22"/>
        <v>0</v>
      </c>
      <c r="BG33" s="144">
        <v>0</v>
      </c>
      <c r="BH33" s="144">
        <v>0</v>
      </c>
      <c r="BI33" s="144">
        <v>0</v>
      </c>
      <c r="BJ33" s="144">
        <v>0</v>
      </c>
      <c r="BK33" s="144">
        <v>0</v>
      </c>
      <c r="BL33" s="144">
        <v>0</v>
      </c>
      <c r="BM33" s="144">
        <v>0</v>
      </c>
      <c r="BN33" s="144">
        <v>0</v>
      </c>
      <c r="BO33" s="144">
        <v>0</v>
      </c>
      <c r="BP33" s="144">
        <v>0</v>
      </c>
      <c r="BQ33" s="144">
        <v>0</v>
      </c>
      <c r="BR33" s="144">
        <v>0</v>
      </c>
      <c r="BS33" s="94"/>
      <c r="BT33" s="144">
        <f t="shared" si="23"/>
        <v>0</v>
      </c>
      <c r="BU33" s="144">
        <v>0</v>
      </c>
      <c r="BV33" s="144">
        <v>0</v>
      </c>
      <c r="BW33" s="144">
        <v>0</v>
      </c>
      <c r="BX33" s="144">
        <v>0</v>
      </c>
      <c r="BY33" s="144">
        <v>0</v>
      </c>
      <c r="BZ33" s="144">
        <v>0</v>
      </c>
      <c r="CB33" s="144"/>
    </row>
    <row r="34" spans="1:80">
      <c r="A34" s="479" t="s">
        <v>470</v>
      </c>
      <c r="B34" s="144">
        <f t="shared" si="24"/>
        <v>0</v>
      </c>
      <c r="C34" s="144">
        <v>0</v>
      </c>
      <c r="D34" s="144">
        <v>0</v>
      </c>
      <c r="E34" s="144">
        <v>0</v>
      </c>
      <c r="F34" s="144">
        <v>0</v>
      </c>
      <c r="G34" s="144">
        <v>0</v>
      </c>
      <c r="H34" s="144">
        <v>0</v>
      </c>
      <c r="I34" s="144">
        <v>0</v>
      </c>
      <c r="J34" s="144">
        <v>0</v>
      </c>
      <c r="K34" s="144">
        <v>0</v>
      </c>
      <c r="L34" s="144">
        <v>0</v>
      </c>
      <c r="M34" s="144">
        <v>0</v>
      </c>
      <c r="N34" s="144">
        <v>0</v>
      </c>
      <c r="O34" s="71"/>
      <c r="P34" s="144">
        <f t="shared" si="21"/>
        <v>4230000</v>
      </c>
      <c r="Q34" s="144">
        <v>0</v>
      </c>
      <c r="R34" s="144">
        <v>0</v>
      </c>
      <c r="S34" s="144">
        <v>0</v>
      </c>
      <c r="T34" s="144">
        <f>470000+470000</f>
        <v>940000</v>
      </c>
      <c r="U34" s="144">
        <v>0</v>
      </c>
      <c r="V34" s="144">
        <v>470000</v>
      </c>
      <c r="W34" s="144">
        <v>940000</v>
      </c>
      <c r="X34" s="144">
        <v>0</v>
      </c>
      <c r="Y34" s="144">
        <v>470000</v>
      </c>
      <c r="Z34" s="144">
        <v>940000</v>
      </c>
      <c r="AA34" s="144">
        <v>0</v>
      </c>
      <c r="AB34" s="144">
        <v>470000</v>
      </c>
      <c r="AC34" s="71"/>
      <c r="AD34" s="144">
        <f t="shared" si="25"/>
        <v>5640000</v>
      </c>
      <c r="AE34" s="144">
        <v>470000</v>
      </c>
      <c r="AF34" s="144">
        <v>470000</v>
      </c>
      <c r="AG34" s="144">
        <v>470000</v>
      </c>
      <c r="AH34" s="144">
        <v>470000</v>
      </c>
      <c r="AI34" s="144">
        <v>470000</v>
      </c>
      <c r="AJ34" s="144">
        <v>940000</v>
      </c>
      <c r="AK34" s="144">
        <v>0</v>
      </c>
      <c r="AL34" s="144">
        <v>940000</v>
      </c>
      <c r="AM34" s="144">
        <v>0</v>
      </c>
      <c r="AN34" s="144">
        <v>940000</v>
      </c>
      <c r="AO34" s="144">
        <v>0</v>
      </c>
      <c r="AP34" s="144">
        <v>470000</v>
      </c>
      <c r="AQ34" s="71"/>
      <c r="AR34" s="144">
        <f t="shared" si="26"/>
        <v>7760000</v>
      </c>
      <c r="AS34" s="144">
        <v>470000</v>
      </c>
      <c r="AT34" s="144">
        <v>470000</v>
      </c>
      <c r="AU34" s="144">
        <v>470000</v>
      </c>
      <c r="AV34" s="144">
        <v>470000</v>
      </c>
      <c r="AW34" s="144">
        <v>470000</v>
      </c>
      <c r="AX34" s="144">
        <v>470000</v>
      </c>
      <c r="AY34" s="144">
        <v>940000</v>
      </c>
      <c r="AZ34" s="144">
        <v>0</v>
      </c>
      <c r="BA34" s="144">
        <v>1000000</v>
      </c>
      <c r="BB34" s="144">
        <v>1000000</v>
      </c>
      <c r="BC34" s="144">
        <v>1000000</v>
      </c>
      <c r="BD34" s="144">
        <v>1000000</v>
      </c>
      <c r="BE34" s="94"/>
      <c r="BF34" s="144">
        <f t="shared" si="22"/>
        <v>4412500</v>
      </c>
      <c r="BG34" s="144">
        <v>1000000</v>
      </c>
      <c r="BH34" s="144">
        <v>0</v>
      </c>
      <c r="BI34" s="144">
        <v>2275000</v>
      </c>
      <c r="BJ34" s="144">
        <v>0</v>
      </c>
      <c r="BK34" s="144">
        <v>1137500</v>
      </c>
      <c r="BL34" s="144">
        <v>0</v>
      </c>
      <c r="BM34" s="144">
        <v>0</v>
      </c>
      <c r="BN34" s="144">
        <v>0</v>
      </c>
      <c r="BO34" s="144">
        <v>0</v>
      </c>
      <c r="BP34" s="144">
        <v>0</v>
      </c>
      <c r="BQ34" s="144">
        <v>0</v>
      </c>
      <c r="BR34" s="144">
        <v>0</v>
      </c>
      <c r="BS34" s="94"/>
      <c r="BT34" s="144">
        <f t="shared" si="23"/>
        <v>0</v>
      </c>
      <c r="BU34" s="144">
        <v>0</v>
      </c>
      <c r="BV34" s="144">
        <v>0</v>
      </c>
      <c r="BW34" s="144">
        <v>0</v>
      </c>
      <c r="BX34" s="144">
        <v>0</v>
      </c>
      <c r="BY34" s="144">
        <v>0</v>
      </c>
      <c r="BZ34" s="144">
        <v>0</v>
      </c>
      <c r="CB34" s="144"/>
    </row>
    <row r="35" spans="1:80" hidden="1">
      <c r="A35" s="482" t="s">
        <v>582</v>
      </c>
      <c r="B35" s="144">
        <f t="shared" si="24"/>
        <v>0</v>
      </c>
      <c r="C35" s="144">
        <f t="shared" ref="C35:N35" si="34">SUM(E35:P35)</f>
        <v>0</v>
      </c>
      <c r="D35" s="144">
        <f t="shared" si="34"/>
        <v>0</v>
      </c>
      <c r="E35" s="144">
        <f t="shared" si="34"/>
        <v>0</v>
      </c>
      <c r="F35" s="144">
        <f t="shared" si="34"/>
        <v>0</v>
      </c>
      <c r="G35" s="144">
        <f t="shared" si="34"/>
        <v>0</v>
      </c>
      <c r="H35" s="144">
        <f t="shared" si="34"/>
        <v>0</v>
      </c>
      <c r="I35" s="144">
        <f t="shared" si="34"/>
        <v>0</v>
      </c>
      <c r="J35" s="144">
        <f t="shared" si="34"/>
        <v>0</v>
      </c>
      <c r="K35" s="144">
        <f t="shared" si="34"/>
        <v>0</v>
      </c>
      <c r="L35" s="144">
        <f t="shared" si="34"/>
        <v>0</v>
      </c>
      <c r="M35" s="144">
        <f t="shared" si="34"/>
        <v>0</v>
      </c>
      <c r="N35" s="144">
        <f t="shared" si="34"/>
        <v>0</v>
      </c>
      <c r="O35" s="71"/>
      <c r="P35" s="144">
        <f t="shared" si="21"/>
        <v>0</v>
      </c>
      <c r="Q35" s="144">
        <v>0</v>
      </c>
      <c r="R35" s="144">
        <v>0</v>
      </c>
      <c r="S35" s="144">
        <v>0</v>
      </c>
      <c r="T35" s="144">
        <v>0</v>
      </c>
      <c r="U35" s="144">
        <v>0</v>
      </c>
      <c r="V35" s="144">
        <v>0</v>
      </c>
      <c r="W35" s="144">
        <v>0</v>
      </c>
      <c r="X35" s="144">
        <v>0</v>
      </c>
      <c r="Y35" s="144">
        <v>0</v>
      </c>
      <c r="Z35" s="144">
        <v>0</v>
      </c>
      <c r="AA35" s="144">
        <v>0</v>
      </c>
      <c r="AB35" s="144">
        <v>0</v>
      </c>
      <c r="AC35" s="71"/>
      <c r="AD35" s="144">
        <v>0</v>
      </c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71"/>
      <c r="AR35" s="144">
        <f t="shared" si="26"/>
        <v>0</v>
      </c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94"/>
      <c r="BF35" s="144">
        <f t="shared" si="22"/>
        <v>2212478</v>
      </c>
      <c r="BG35" s="144">
        <v>0</v>
      </c>
      <c r="BH35" s="144">
        <v>0</v>
      </c>
      <c r="BI35" s="144">
        <v>0</v>
      </c>
      <c r="BJ35" s="144">
        <v>0</v>
      </c>
      <c r="BK35" s="144">
        <v>0</v>
      </c>
      <c r="BL35" s="144">
        <v>0</v>
      </c>
      <c r="BM35" s="144">
        <v>0</v>
      </c>
      <c r="BN35" s="144">
        <v>1106239</v>
      </c>
      <c r="BO35" s="144">
        <v>0</v>
      </c>
      <c r="BP35" s="144">
        <v>1106239</v>
      </c>
      <c r="BQ35" s="144"/>
      <c r="BR35" s="144"/>
      <c r="BS35" s="94"/>
      <c r="BT35" s="144"/>
      <c r="BU35" s="144">
        <v>0</v>
      </c>
      <c r="BV35" s="144">
        <v>0</v>
      </c>
      <c r="BW35" s="144">
        <v>0</v>
      </c>
      <c r="BX35" s="144">
        <v>0</v>
      </c>
      <c r="BY35" s="144">
        <v>0</v>
      </c>
      <c r="BZ35" s="144">
        <v>0</v>
      </c>
      <c r="CB35" s="144"/>
    </row>
    <row r="36" spans="1:80">
      <c r="A36" s="482" t="s">
        <v>596</v>
      </c>
      <c r="B36" s="144">
        <f t="shared" si="24"/>
        <v>55237137</v>
      </c>
      <c r="C36" s="144">
        <v>0</v>
      </c>
      <c r="D36" s="144">
        <v>0</v>
      </c>
      <c r="E36" s="144">
        <v>0</v>
      </c>
      <c r="F36" s="144">
        <v>0</v>
      </c>
      <c r="G36" s="144">
        <v>0</v>
      </c>
      <c r="H36" s="144">
        <v>0</v>
      </c>
      <c r="I36" s="144">
        <v>0</v>
      </c>
      <c r="J36" s="144">
        <v>0</v>
      </c>
      <c r="K36" s="144">
        <v>0</v>
      </c>
      <c r="L36" s="144">
        <v>0</v>
      </c>
      <c r="M36" s="144">
        <v>0</v>
      </c>
      <c r="N36" s="144">
        <v>55237137</v>
      </c>
      <c r="O36" s="71"/>
      <c r="P36" s="144">
        <f t="shared" si="21"/>
        <v>335901628</v>
      </c>
      <c r="Q36" s="144">
        <v>30398469</v>
      </c>
      <c r="R36" s="144">
        <v>30398469</v>
      </c>
      <c r="S36" s="144">
        <v>30398469</v>
      </c>
      <c r="T36" s="144">
        <v>30398469</v>
      </c>
      <c r="U36" s="144">
        <v>30398469</v>
      </c>
      <c r="V36" s="144">
        <v>55316938</v>
      </c>
      <c r="W36" s="144">
        <v>26398469</v>
      </c>
      <c r="X36" s="144">
        <v>25548469</v>
      </c>
      <c r="Y36" s="144">
        <v>25548469</v>
      </c>
      <c r="Z36" s="144">
        <v>25548469</v>
      </c>
      <c r="AA36" s="144">
        <v>25548469</v>
      </c>
      <c r="AB36" s="144"/>
      <c r="AC36" s="71"/>
      <c r="AD36" s="144">
        <v>0</v>
      </c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71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9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  <c r="BS36" s="94"/>
      <c r="BT36" s="144"/>
      <c r="BU36" s="144"/>
      <c r="BV36" s="144"/>
      <c r="BW36" s="144"/>
      <c r="BX36" s="144"/>
      <c r="BY36" s="144"/>
      <c r="BZ36" s="144"/>
      <c r="CB36" s="144"/>
    </row>
    <row r="37" spans="1:80" hidden="1">
      <c r="A37" s="71" t="s">
        <v>248</v>
      </c>
      <c r="B37" s="144">
        <f>SUM(C37:N37)</f>
        <v>0</v>
      </c>
      <c r="C37" s="144">
        <f t="shared" ref="C37:N37" si="35">SUM(E37:P37)</f>
        <v>0</v>
      </c>
      <c r="D37" s="144">
        <f t="shared" si="35"/>
        <v>0</v>
      </c>
      <c r="E37" s="144">
        <f t="shared" si="35"/>
        <v>0</v>
      </c>
      <c r="F37" s="144">
        <f t="shared" si="35"/>
        <v>0</v>
      </c>
      <c r="G37" s="144">
        <f t="shared" si="35"/>
        <v>0</v>
      </c>
      <c r="H37" s="144">
        <f t="shared" si="35"/>
        <v>0</v>
      </c>
      <c r="I37" s="144">
        <f t="shared" si="35"/>
        <v>0</v>
      </c>
      <c r="J37" s="144">
        <f t="shared" si="35"/>
        <v>0</v>
      </c>
      <c r="K37" s="144">
        <f t="shared" si="35"/>
        <v>0</v>
      </c>
      <c r="L37" s="144">
        <f t="shared" si="35"/>
        <v>0</v>
      </c>
      <c r="M37" s="144">
        <f t="shared" si="35"/>
        <v>0</v>
      </c>
      <c r="N37" s="144">
        <f t="shared" si="35"/>
        <v>0</v>
      </c>
      <c r="O37" s="71"/>
      <c r="P37" s="144">
        <f t="shared" si="21"/>
        <v>0</v>
      </c>
      <c r="Q37" s="144">
        <v>0</v>
      </c>
      <c r="R37" s="144">
        <v>0</v>
      </c>
      <c r="S37" s="144">
        <v>0</v>
      </c>
      <c r="T37" s="144">
        <v>0</v>
      </c>
      <c r="U37" s="144">
        <v>0</v>
      </c>
      <c r="V37" s="144">
        <v>0</v>
      </c>
      <c r="W37" s="144">
        <v>0</v>
      </c>
      <c r="X37" s="144">
        <v>0</v>
      </c>
      <c r="Y37" s="144">
        <v>0</v>
      </c>
      <c r="Z37" s="144">
        <v>0</v>
      </c>
      <c r="AA37" s="144">
        <v>0</v>
      </c>
      <c r="AB37" s="144">
        <v>0</v>
      </c>
      <c r="AC37" s="71"/>
      <c r="AD37" s="144">
        <f t="shared" si="25"/>
        <v>0</v>
      </c>
      <c r="AE37" s="144">
        <v>0</v>
      </c>
      <c r="AF37" s="144">
        <v>0</v>
      </c>
      <c r="AG37" s="144">
        <v>0</v>
      </c>
      <c r="AH37" s="144">
        <v>0</v>
      </c>
      <c r="AI37" s="144">
        <v>0</v>
      </c>
      <c r="AJ37" s="144">
        <v>0</v>
      </c>
      <c r="AK37" s="144">
        <v>0</v>
      </c>
      <c r="AL37" s="144">
        <v>0</v>
      </c>
      <c r="AM37" s="144">
        <v>0</v>
      </c>
      <c r="AN37" s="144">
        <v>0</v>
      </c>
      <c r="AO37" s="144">
        <v>0</v>
      </c>
      <c r="AP37" s="144">
        <v>0</v>
      </c>
      <c r="AQ37" s="71"/>
      <c r="AR37" s="144">
        <f t="shared" si="26"/>
        <v>0</v>
      </c>
      <c r="AS37" s="144">
        <v>0</v>
      </c>
      <c r="AT37" s="144">
        <v>0</v>
      </c>
      <c r="AU37" s="144">
        <v>0</v>
      </c>
      <c r="AV37" s="144">
        <v>0</v>
      </c>
      <c r="AW37" s="144">
        <v>0</v>
      </c>
      <c r="AX37" s="144">
        <v>0</v>
      </c>
      <c r="AY37" s="144">
        <v>0</v>
      </c>
      <c r="AZ37" s="144">
        <v>0</v>
      </c>
      <c r="BA37" s="144">
        <v>0</v>
      </c>
      <c r="BB37" s="144">
        <v>0</v>
      </c>
      <c r="BC37" s="144">
        <v>0</v>
      </c>
      <c r="BD37" s="144">
        <v>0</v>
      </c>
      <c r="BE37" s="94"/>
      <c r="BF37" s="144">
        <f>SUM(BG37:BR37)</f>
        <v>0</v>
      </c>
      <c r="BG37" s="144">
        <v>0</v>
      </c>
      <c r="BH37" s="144">
        <v>0</v>
      </c>
      <c r="BI37" s="144">
        <v>0</v>
      </c>
      <c r="BJ37" s="144">
        <v>0</v>
      </c>
      <c r="BK37" s="144">
        <v>0</v>
      </c>
      <c r="BL37" s="144">
        <v>0</v>
      </c>
      <c r="BM37" s="144">
        <v>0</v>
      </c>
      <c r="BN37" s="144">
        <v>0</v>
      </c>
      <c r="BO37" s="144">
        <v>0</v>
      </c>
      <c r="BP37" s="144">
        <v>0</v>
      </c>
      <c r="BQ37" s="144">
        <v>0</v>
      </c>
      <c r="BR37" s="144">
        <v>0</v>
      </c>
      <c r="BS37" s="94"/>
      <c r="BT37" s="144">
        <f>SUM(BU37:BZ37)</f>
        <v>0</v>
      </c>
      <c r="BU37" s="144">
        <v>0</v>
      </c>
      <c r="BV37" s="144">
        <v>0</v>
      </c>
      <c r="BW37" s="144">
        <v>0</v>
      </c>
      <c r="BX37" s="144">
        <v>0</v>
      </c>
      <c r="BY37" s="144">
        <v>0</v>
      </c>
      <c r="BZ37" s="144">
        <v>0</v>
      </c>
      <c r="CB37" s="144"/>
    </row>
    <row r="38" spans="1:80" ht="12.75" thickBot="1">
      <c r="A38" s="73" t="s">
        <v>249</v>
      </c>
      <c r="B38" s="310">
        <f>SUM(C38:N38)</f>
        <v>-21213878</v>
      </c>
      <c r="C38" s="310">
        <v>0</v>
      </c>
      <c r="D38" s="310">
        <v>0</v>
      </c>
      <c r="E38" s="310">
        <v>0</v>
      </c>
      <c r="F38" s="310">
        <v>0</v>
      </c>
      <c r="G38" s="310">
        <v>0</v>
      </c>
      <c r="H38" s="310">
        <v>0</v>
      </c>
      <c r="I38" s="310">
        <v>0</v>
      </c>
      <c r="J38" s="310">
        <v>0</v>
      </c>
      <c r="K38" s="310">
        <v>0</v>
      </c>
      <c r="L38" s="310">
        <v>0</v>
      </c>
      <c r="M38" s="310">
        <v>0</v>
      </c>
      <c r="N38" s="310">
        <v>-21213878</v>
      </c>
      <c r="O38" s="73"/>
      <c r="P38" s="310">
        <f t="shared" si="21"/>
        <v>-28714079</v>
      </c>
      <c r="Q38" s="310">
        <v>0</v>
      </c>
      <c r="R38" s="310">
        <v>0</v>
      </c>
      <c r="S38" s="310">
        <v>0</v>
      </c>
      <c r="T38" s="310">
        <v>0</v>
      </c>
      <c r="U38" s="310">
        <v>0</v>
      </c>
      <c r="V38" s="310">
        <v>-27648469</v>
      </c>
      <c r="W38" s="310">
        <v>0</v>
      </c>
      <c r="X38" s="310">
        <v>0</v>
      </c>
      <c r="Y38" s="310">
        <v>-445610</v>
      </c>
      <c r="Z38" s="310">
        <v>0</v>
      </c>
      <c r="AA38" s="310">
        <v>-620000</v>
      </c>
      <c r="AB38" s="310">
        <v>0</v>
      </c>
      <c r="AC38" s="73"/>
      <c r="AD38" s="310">
        <f>SUM(AE38:AP38)</f>
        <v>-1160000</v>
      </c>
      <c r="AE38" s="173">
        <v>0</v>
      </c>
      <c r="AF38" s="173">
        <v>0</v>
      </c>
      <c r="AG38" s="173">
        <v>-620000</v>
      </c>
      <c r="AH38" s="173">
        <v>0</v>
      </c>
      <c r="AI38" s="173">
        <v>0</v>
      </c>
      <c r="AJ38" s="173">
        <v>0</v>
      </c>
      <c r="AK38" s="173">
        <v>0</v>
      </c>
      <c r="AL38" s="173">
        <v>0</v>
      </c>
      <c r="AM38" s="173">
        <v>-540000</v>
      </c>
      <c r="AN38" s="173">
        <v>0</v>
      </c>
      <c r="AO38" s="173">
        <v>0</v>
      </c>
      <c r="AP38" s="173">
        <v>0</v>
      </c>
      <c r="AQ38" s="73"/>
      <c r="AR38" s="173">
        <f>SUM(AS38:BD38)</f>
        <v>-3170000</v>
      </c>
      <c r="AS38" s="173"/>
      <c r="AT38" s="173"/>
      <c r="AU38" s="173">
        <v>-1500000</v>
      </c>
      <c r="AV38" s="173"/>
      <c r="AW38" s="173">
        <v>-470000</v>
      </c>
      <c r="AX38" s="173"/>
      <c r="AY38" s="173"/>
      <c r="AZ38" s="173">
        <v>-200000</v>
      </c>
      <c r="BA38" s="173"/>
      <c r="BB38" s="173">
        <v>-1000000</v>
      </c>
      <c r="BC38" s="173"/>
      <c r="BD38" s="173"/>
      <c r="BF38" s="173">
        <f>SUM(BG38:BR38)</f>
        <v>-3243739</v>
      </c>
      <c r="BG38" s="173">
        <v>0</v>
      </c>
      <c r="BH38" s="173">
        <v>0</v>
      </c>
      <c r="BI38" s="173">
        <v>0</v>
      </c>
      <c r="BJ38" s="173">
        <v>0</v>
      </c>
      <c r="BK38" s="173">
        <v>-1137500</v>
      </c>
      <c r="BL38" s="173">
        <v>0</v>
      </c>
      <c r="BM38" s="173">
        <v>0</v>
      </c>
      <c r="BN38" s="173">
        <v>-1106239</v>
      </c>
      <c r="BO38" s="173">
        <v>-1000000</v>
      </c>
      <c r="BP38" s="173">
        <v>0</v>
      </c>
      <c r="BQ38" s="173">
        <v>0</v>
      </c>
      <c r="BR38" s="173">
        <v>0</v>
      </c>
      <c r="BT38" s="173">
        <v>-11403361</v>
      </c>
      <c r="BU38" s="173"/>
      <c r="BV38" s="173"/>
      <c r="BW38" s="173"/>
      <c r="BX38" s="173"/>
      <c r="BY38" s="173"/>
      <c r="BZ38" s="173"/>
      <c r="CB38" s="173"/>
    </row>
    <row r="39" spans="1:80" ht="12.75" thickTop="1"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D39" s="125"/>
    </row>
    <row r="40" spans="1:80" ht="12.75" thickBot="1">
      <c r="AR40" s="65"/>
    </row>
    <row r="41" spans="1:80" ht="13.5" thickTop="1" thickBot="1">
      <c r="A41" s="90" t="s">
        <v>250</v>
      </c>
      <c r="B41" s="75">
        <f t="shared" ref="B41:AB41" si="36">+B42</f>
        <v>0</v>
      </c>
      <c r="C41" s="75">
        <f t="shared" si="36"/>
        <v>0</v>
      </c>
      <c r="D41" s="75">
        <f t="shared" si="36"/>
        <v>0</v>
      </c>
      <c r="E41" s="75">
        <f t="shared" si="36"/>
        <v>0</v>
      </c>
      <c r="F41" s="75">
        <f t="shared" si="36"/>
        <v>0</v>
      </c>
      <c r="G41" s="75">
        <f t="shared" si="36"/>
        <v>0</v>
      </c>
      <c r="H41" s="75">
        <f t="shared" si="36"/>
        <v>0</v>
      </c>
      <c r="I41" s="75">
        <f t="shared" si="36"/>
        <v>0</v>
      </c>
      <c r="J41" s="75">
        <f t="shared" si="36"/>
        <v>0</v>
      </c>
      <c r="K41" s="75">
        <f t="shared" si="36"/>
        <v>0</v>
      </c>
      <c r="L41" s="75">
        <f t="shared" si="36"/>
        <v>0</v>
      </c>
      <c r="M41" s="75">
        <f t="shared" si="36"/>
        <v>0</v>
      </c>
      <c r="N41" s="75">
        <f t="shared" si="36"/>
        <v>0</v>
      </c>
      <c r="O41" s="70"/>
      <c r="P41" s="75">
        <f t="shared" si="36"/>
        <v>2492.75</v>
      </c>
      <c r="Q41" s="75">
        <f t="shared" si="36"/>
        <v>0</v>
      </c>
      <c r="R41" s="75">
        <f t="shared" si="36"/>
        <v>0</v>
      </c>
      <c r="S41" s="75">
        <f t="shared" si="36"/>
        <v>0</v>
      </c>
      <c r="T41" s="75">
        <f t="shared" si="36"/>
        <v>0</v>
      </c>
      <c r="U41" s="75">
        <f t="shared" si="36"/>
        <v>0</v>
      </c>
      <c r="V41" s="75">
        <f t="shared" si="36"/>
        <v>0</v>
      </c>
      <c r="W41" s="75">
        <f t="shared" si="36"/>
        <v>0</v>
      </c>
      <c r="X41" s="75">
        <f t="shared" si="36"/>
        <v>839</v>
      </c>
      <c r="Y41" s="75">
        <f t="shared" si="36"/>
        <v>813</v>
      </c>
      <c r="Z41" s="75">
        <f t="shared" si="36"/>
        <v>0</v>
      </c>
      <c r="AA41" s="75">
        <f t="shared" si="36"/>
        <v>0</v>
      </c>
      <c r="AB41" s="75">
        <f t="shared" si="36"/>
        <v>840.75</v>
      </c>
      <c r="AC41" s="70"/>
      <c r="AD41" s="75">
        <f>SUM(AE41:AP41)</f>
        <v>2182</v>
      </c>
      <c r="AE41" s="75">
        <f>SUM(AE42:AE42)</f>
        <v>638</v>
      </c>
      <c r="AF41" s="75">
        <f>SUM(AF42:AF42)</f>
        <v>0</v>
      </c>
      <c r="AG41" s="75">
        <f>SUM(AG42:AG42)</f>
        <v>0</v>
      </c>
      <c r="AH41" s="75">
        <f>SUM(AH42:AH42)</f>
        <v>879</v>
      </c>
      <c r="AI41" s="75">
        <f>SUM(AI42:AI42)</f>
        <v>0</v>
      </c>
      <c r="AJ41" s="75"/>
      <c r="AK41" s="75">
        <f t="shared" ref="AK41:AP41" si="37">+AK42</f>
        <v>369</v>
      </c>
      <c r="AL41" s="75">
        <f t="shared" si="37"/>
        <v>296</v>
      </c>
      <c r="AM41" s="75">
        <f t="shared" si="37"/>
        <v>0</v>
      </c>
      <c r="AN41" s="75">
        <f t="shared" si="37"/>
        <v>0</v>
      </c>
      <c r="AO41" s="75">
        <f t="shared" si="37"/>
        <v>0</v>
      </c>
      <c r="AP41" s="75">
        <f t="shared" si="37"/>
        <v>0</v>
      </c>
      <c r="AQ41" s="70"/>
      <c r="AR41" s="75">
        <f t="shared" ref="AR41:AX41" si="38">+AR42</f>
        <v>200</v>
      </c>
      <c r="AS41" s="78">
        <f t="shared" si="38"/>
        <v>0</v>
      </c>
      <c r="AT41" s="78">
        <f t="shared" si="38"/>
        <v>0</v>
      </c>
      <c r="AU41" s="78">
        <f t="shared" si="38"/>
        <v>0</v>
      </c>
      <c r="AV41" s="78">
        <f t="shared" si="38"/>
        <v>0</v>
      </c>
      <c r="AW41" s="78">
        <f t="shared" si="38"/>
        <v>0</v>
      </c>
      <c r="AX41" s="78">
        <f t="shared" si="38"/>
        <v>200</v>
      </c>
      <c r="AY41" s="78">
        <f t="shared" ref="AY41:BD41" si="39">SUM(BI41:BL43)</f>
        <v>0</v>
      </c>
      <c r="AZ41" s="78">
        <f t="shared" si="39"/>
        <v>0</v>
      </c>
      <c r="BA41" s="78">
        <f t="shared" si="39"/>
        <v>0</v>
      </c>
      <c r="BB41" s="78">
        <f t="shared" si="39"/>
        <v>0</v>
      </c>
      <c r="BC41" s="78">
        <f t="shared" si="39"/>
        <v>0</v>
      </c>
      <c r="BD41" s="78">
        <f t="shared" si="39"/>
        <v>0</v>
      </c>
      <c r="BE41" s="87"/>
      <c r="BF41" s="75">
        <f>SUM(BO41:BR43)</f>
        <v>0</v>
      </c>
      <c r="BG41" s="78">
        <f>+BG42</f>
        <v>0</v>
      </c>
      <c r="BH41" s="78">
        <f t="shared" ref="BH41:BR41" si="40">+BH42</f>
        <v>0</v>
      </c>
      <c r="BI41" s="78">
        <f t="shared" si="40"/>
        <v>0</v>
      </c>
      <c r="BJ41" s="78">
        <f t="shared" si="40"/>
        <v>0</v>
      </c>
      <c r="BK41" s="78">
        <f t="shared" si="40"/>
        <v>0</v>
      </c>
      <c r="BL41" s="78">
        <f t="shared" si="40"/>
        <v>0</v>
      </c>
      <c r="BM41" s="78">
        <f t="shared" si="40"/>
        <v>0</v>
      </c>
      <c r="BN41" s="78">
        <f t="shared" si="40"/>
        <v>0</v>
      </c>
      <c r="BO41" s="78">
        <f t="shared" si="40"/>
        <v>0</v>
      </c>
      <c r="BP41" s="78">
        <f t="shared" si="40"/>
        <v>0</v>
      </c>
      <c r="BQ41" s="78">
        <f t="shared" si="40"/>
        <v>0</v>
      </c>
      <c r="BR41" s="78">
        <f t="shared" si="40"/>
        <v>0</v>
      </c>
      <c r="BS41" s="87"/>
      <c r="BT41" s="75">
        <f>SUM(BW41:BZ43)</f>
        <v>0</v>
      </c>
      <c r="BU41" s="75"/>
      <c r="BV41" s="75"/>
      <c r="BW41" s="75"/>
      <c r="BX41" s="75"/>
      <c r="BY41" s="75">
        <f>SUM(BY42:BY42)</f>
        <v>0</v>
      </c>
      <c r="BZ41" s="75">
        <f>SUM(BZ42:BZ42)</f>
        <v>0</v>
      </c>
      <c r="CA41" s="95"/>
      <c r="CB41" s="75">
        <f>SUM(CB42:CB42)</f>
        <v>0</v>
      </c>
    </row>
    <row r="42" spans="1:80" ht="13.5" thickTop="1" thickBot="1">
      <c r="A42" s="330" t="s">
        <v>443</v>
      </c>
      <c r="B42" s="72">
        <f>SUM(C42:N42)</f>
        <v>0</v>
      </c>
      <c r="C42" s="72">
        <v>0</v>
      </c>
      <c r="D42" s="72">
        <v>0</v>
      </c>
      <c r="E42" s="72">
        <v>0</v>
      </c>
      <c r="F42" s="72">
        <v>0</v>
      </c>
      <c r="G42" s="72">
        <v>0</v>
      </c>
      <c r="H42" s="72">
        <v>0</v>
      </c>
      <c r="I42" s="72">
        <v>0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89"/>
      <c r="P42" s="72">
        <f>SUM(Q42:AB42)</f>
        <v>2492.75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839</v>
      </c>
      <c r="Y42" s="72">
        <v>813</v>
      </c>
      <c r="Z42" s="72">
        <v>0</v>
      </c>
      <c r="AA42" s="72">
        <v>0</v>
      </c>
      <c r="AB42" s="72">
        <v>840.75</v>
      </c>
      <c r="AC42" s="89"/>
      <c r="AD42" s="72">
        <f>SUM(AE42:AP42)</f>
        <v>2182</v>
      </c>
      <c r="AE42" s="72">
        <v>638</v>
      </c>
      <c r="AF42" s="72">
        <v>0</v>
      </c>
      <c r="AG42" s="72">
        <v>0</v>
      </c>
      <c r="AH42" s="72">
        <v>879</v>
      </c>
      <c r="AI42" s="72">
        <v>0</v>
      </c>
      <c r="AJ42" s="72">
        <v>0</v>
      </c>
      <c r="AK42" s="72">
        <v>369</v>
      </c>
      <c r="AL42" s="72">
        <v>296</v>
      </c>
      <c r="AM42" s="72">
        <v>0</v>
      </c>
      <c r="AN42" s="72">
        <v>0</v>
      </c>
      <c r="AO42" s="72">
        <v>0</v>
      </c>
      <c r="AP42" s="72">
        <v>0</v>
      </c>
      <c r="AQ42" s="89"/>
      <c r="AR42" s="173">
        <f>SUM(AS42:BD42)</f>
        <v>200</v>
      </c>
      <c r="AS42" s="72">
        <v>0</v>
      </c>
      <c r="AT42" s="76">
        <v>0</v>
      </c>
      <c r="AU42" s="76">
        <v>0</v>
      </c>
      <c r="AV42" s="76">
        <v>0</v>
      </c>
      <c r="AW42" s="76">
        <v>0</v>
      </c>
      <c r="AX42" s="76">
        <v>200</v>
      </c>
      <c r="AY42" s="76">
        <f t="shared" ref="AY42:BD42" si="41">SUM(BI42:BL43)</f>
        <v>0</v>
      </c>
      <c r="AZ42" s="76">
        <f t="shared" si="41"/>
        <v>0</v>
      </c>
      <c r="BA42" s="76">
        <f t="shared" si="41"/>
        <v>0</v>
      </c>
      <c r="BB42" s="76">
        <f t="shared" si="41"/>
        <v>0</v>
      </c>
      <c r="BC42" s="76">
        <f t="shared" si="41"/>
        <v>0</v>
      </c>
      <c r="BD42" s="76">
        <f t="shared" si="41"/>
        <v>0</v>
      </c>
      <c r="BF42" s="72">
        <f>SUM(BO42:BR43)</f>
        <v>0</v>
      </c>
      <c r="BG42" s="76">
        <v>0</v>
      </c>
      <c r="BH42" s="76">
        <v>0</v>
      </c>
      <c r="BI42" s="76">
        <v>0</v>
      </c>
      <c r="BJ42" s="76">
        <v>0</v>
      </c>
      <c r="BK42" s="76">
        <v>0</v>
      </c>
      <c r="BL42" s="76">
        <v>0</v>
      </c>
      <c r="BM42" s="76">
        <v>0</v>
      </c>
      <c r="BN42" s="76">
        <v>0</v>
      </c>
      <c r="BO42" s="76">
        <v>0</v>
      </c>
      <c r="BP42" s="76">
        <v>0</v>
      </c>
      <c r="BQ42" s="76">
        <v>0</v>
      </c>
      <c r="BR42" s="76">
        <v>0</v>
      </c>
      <c r="BT42" s="72">
        <f>SUM(BW42:BZ43)</f>
        <v>0</v>
      </c>
      <c r="BU42" s="72"/>
      <c r="BV42" s="72"/>
      <c r="BW42" s="72"/>
      <c r="BX42" s="72"/>
      <c r="BY42" s="72"/>
      <c r="BZ42" s="72"/>
      <c r="CB42" s="84"/>
    </row>
    <row r="43" spans="1:80" ht="13.5" thickTop="1" thickBot="1">
      <c r="CB43" s="125"/>
    </row>
    <row r="44" spans="1:80" ht="13.5" thickTop="1" thickBot="1">
      <c r="A44" s="329" t="s">
        <v>134</v>
      </c>
      <c r="B44" s="326">
        <f t="shared" ref="B44:N44" si="42">+B9+B41</f>
        <v>45023259</v>
      </c>
      <c r="C44" s="326">
        <f t="shared" ref="C44:D44" si="43">+C9+C41</f>
        <v>0</v>
      </c>
      <c r="D44" s="326">
        <f t="shared" si="43"/>
        <v>0</v>
      </c>
      <c r="E44" s="326">
        <f t="shared" si="42"/>
        <v>0</v>
      </c>
      <c r="F44" s="326">
        <f t="shared" ref="F44:G44" si="44">+F9+F41</f>
        <v>0</v>
      </c>
      <c r="G44" s="326">
        <f t="shared" si="44"/>
        <v>0</v>
      </c>
      <c r="H44" s="326">
        <f t="shared" si="42"/>
        <v>0</v>
      </c>
      <c r="I44" s="326">
        <f t="shared" ref="I44:J44" si="45">+I9+I41</f>
        <v>0</v>
      </c>
      <c r="J44" s="326">
        <f t="shared" si="45"/>
        <v>0</v>
      </c>
      <c r="K44" s="326">
        <f t="shared" si="42"/>
        <v>0</v>
      </c>
      <c r="L44" s="326">
        <f t="shared" ref="L44:M44" si="46">+L9+L41</f>
        <v>0</v>
      </c>
      <c r="M44" s="326">
        <f t="shared" si="46"/>
        <v>0</v>
      </c>
      <c r="N44" s="326">
        <f t="shared" si="42"/>
        <v>45023259</v>
      </c>
      <c r="O44" s="79"/>
      <c r="P44" s="326">
        <f t="shared" ref="P44:AB44" si="47">+P9+P41</f>
        <v>370325163.75</v>
      </c>
      <c r="Q44" s="326">
        <f t="shared" ref="Q44" si="48">+Q9+Q41</f>
        <v>41398469</v>
      </c>
      <c r="R44" s="326">
        <f t="shared" si="47"/>
        <v>42018469</v>
      </c>
      <c r="S44" s="326">
        <f t="shared" ref="S44:T44" si="49">+S9+S41</f>
        <v>43654871</v>
      </c>
      <c r="T44" s="326">
        <f t="shared" si="49"/>
        <v>42958469</v>
      </c>
      <c r="U44" s="326">
        <f t="shared" si="47"/>
        <v>31018469</v>
      </c>
      <c r="V44" s="326">
        <f t="shared" ref="V44:W44" si="50">+V9+V41</f>
        <v>29178469</v>
      </c>
      <c r="W44" s="326">
        <f t="shared" si="50"/>
        <v>28798469</v>
      </c>
      <c r="X44" s="326">
        <f t="shared" si="47"/>
        <v>26614918</v>
      </c>
      <c r="Y44" s="326">
        <f t="shared" si="47"/>
        <v>27456782</v>
      </c>
      <c r="Z44" s="326">
        <f t="shared" si="47"/>
        <v>29548469</v>
      </c>
      <c r="AA44" s="326">
        <f t="shared" si="47"/>
        <v>26168469</v>
      </c>
      <c r="AB44" s="326">
        <f t="shared" si="47"/>
        <v>1510840.75</v>
      </c>
      <c r="AC44" s="79"/>
      <c r="AD44" s="326">
        <f t="shared" ref="AD44:AP44" si="51">+AD9+AD41</f>
        <v>95611769</v>
      </c>
      <c r="AE44" s="326">
        <f t="shared" si="51"/>
        <v>6910638</v>
      </c>
      <c r="AF44" s="326">
        <f t="shared" si="51"/>
        <v>7309587</v>
      </c>
      <c r="AG44" s="326">
        <f t="shared" si="51"/>
        <v>6910000</v>
      </c>
      <c r="AH44" s="326">
        <f t="shared" si="51"/>
        <v>6910879</v>
      </c>
      <c r="AI44" s="326">
        <f t="shared" si="51"/>
        <v>7910000</v>
      </c>
      <c r="AJ44" s="326">
        <f t="shared" si="51"/>
        <v>9270000</v>
      </c>
      <c r="AK44" s="326">
        <f t="shared" si="51"/>
        <v>7020369</v>
      </c>
      <c r="AL44" s="326">
        <f t="shared" si="51"/>
        <v>9740296</v>
      </c>
      <c r="AM44" s="326">
        <f t="shared" si="51"/>
        <v>7020000</v>
      </c>
      <c r="AN44" s="326">
        <f t="shared" si="51"/>
        <v>10820000</v>
      </c>
      <c r="AO44" s="326">
        <f t="shared" si="51"/>
        <v>7560000</v>
      </c>
      <c r="AP44" s="326">
        <f t="shared" si="51"/>
        <v>8230000</v>
      </c>
      <c r="AQ44" s="79"/>
      <c r="AR44" s="326">
        <f t="shared" ref="AR44:BD44" si="52">+AR9+AR41</f>
        <v>102813214</v>
      </c>
      <c r="AS44" s="326">
        <f t="shared" si="52"/>
        <v>8185423</v>
      </c>
      <c r="AT44" s="326">
        <f t="shared" si="52"/>
        <v>8185423</v>
      </c>
      <c r="AU44" s="326">
        <f t="shared" si="52"/>
        <v>11760000</v>
      </c>
      <c r="AV44" s="326">
        <f t="shared" si="52"/>
        <v>2360000</v>
      </c>
      <c r="AW44" s="326">
        <f t="shared" si="52"/>
        <v>5890000</v>
      </c>
      <c r="AX44" s="326">
        <f t="shared" si="52"/>
        <v>6360200</v>
      </c>
      <c r="AY44" s="326">
        <f t="shared" si="52"/>
        <v>7080000</v>
      </c>
      <c r="AZ44" s="326">
        <f t="shared" si="52"/>
        <v>41940000</v>
      </c>
      <c r="BA44" s="326">
        <f t="shared" si="52"/>
        <v>4512000</v>
      </c>
      <c r="BB44" s="326">
        <f t="shared" si="52"/>
        <v>1520000</v>
      </c>
      <c r="BC44" s="326">
        <f t="shared" si="52"/>
        <v>2080000</v>
      </c>
      <c r="BD44" s="326">
        <f t="shared" si="52"/>
        <v>2940168</v>
      </c>
      <c r="BE44" s="97"/>
      <c r="BF44" s="326">
        <f t="shared" ref="BF44:BR44" si="53">+BF9+BF41</f>
        <v>47784225</v>
      </c>
      <c r="BG44" s="326">
        <f t="shared" si="53"/>
        <v>6640168</v>
      </c>
      <c r="BH44" s="326">
        <f t="shared" si="53"/>
        <v>1970000</v>
      </c>
      <c r="BI44" s="326">
        <f t="shared" si="53"/>
        <v>3795000</v>
      </c>
      <c r="BJ44" s="326">
        <f t="shared" si="53"/>
        <v>18668403</v>
      </c>
      <c r="BK44" s="326">
        <f t="shared" si="53"/>
        <v>11595735</v>
      </c>
      <c r="BL44" s="326">
        <f t="shared" si="53"/>
        <v>0</v>
      </c>
      <c r="BM44" s="326">
        <f t="shared" si="53"/>
        <v>0</v>
      </c>
      <c r="BN44" s="326">
        <f t="shared" si="53"/>
        <v>0</v>
      </c>
      <c r="BO44" s="326">
        <f t="shared" si="53"/>
        <v>504800</v>
      </c>
      <c r="BP44" s="326">
        <f t="shared" si="53"/>
        <v>2610119</v>
      </c>
      <c r="BQ44" s="326">
        <f t="shared" si="53"/>
        <v>1000000</v>
      </c>
      <c r="BR44" s="326">
        <f t="shared" si="53"/>
        <v>1000000</v>
      </c>
      <c r="BS44" s="97"/>
      <c r="BT44" s="326">
        <f t="shared" ref="BT44:BZ44" si="54">+BT9+BT41</f>
        <v>18444000</v>
      </c>
      <c r="BU44" s="326">
        <f t="shared" si="54"/>
        <v>0</v>
      </c>
      <c r="BV44" s="326">
        <f t="shared" si="54"/>
        <v>0</v>
      </c>
      <c r="BW44" s="326">
        <f t="shared" si="54"/>
        <v>0</v>
      </c>
      <c r="BX44" s="326">
        <f t="shared" si="54"/>
        <v>0</v>
      </c>
      <c r="BY44" s="326">
        <f t="shared" si="54"/>
        <v>0</v>
      </c>
      <c r="BZ44" s="326">
        <f t="shared" si="54"/>
        <v>0</v>
      </c>
      <c r="CA44" s="105"/>
      <c r="CB44" s="326">
        <f>+CB9+CB41</f>
        <v>0</v>
      </c>
    </row>
    <row r="45" spans="1:80" ht="12.75" thickTop="1">
      <c r="AR45" s="65"/>
    </row>
    <row r="46" spans="1:80">
      <c r="A46" s="79" t="s">
        <v>251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79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79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79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</row>
    <row r="47" spans="1:80" ht="12.75" thickBot="1">
      <c r="AR47" s="65"/>
    </row>
    <row r="48" spans="1:80" ht="13.5" thickTop="1" thickBot="1">
      <c r="A48" s="90" t="s">
        <v>252</v>
      </c>
      <c r="B48" s="78">
        <f t="shared" ref="B48:N48" si="55">SUM(B49:B64)</f>
        <v>28343153</v>
      </c>
      <c r="C48" s="78">
        <f t="shared" ref="C48:D48" si="56">SUM(C49:C64)</f>
        <v>0</v>
      </c>
      <c r="D48" s="78">
        <f t="shared" si="56"/>
        <v>0</v>
      </c>
      <c r="E48" s="78">
        <f t="shared" si="55"/>
        <v>0</v>
      </c>
      <c r="F48" s="78">
        <f t="shared" ref="F48:G48" si="57">SUM(F49:F64)</f>
        <v>0</v>
      </c>
      <c r="G48" s="78">
        <f t="shared" si="57"/>
        <v>0</v>
      </c>
      <c r="H48" s="78">
        <f t="shared" si="55"/>
        <v>0</v>
      </c>
      <c r="I48" s="78">
        <f t="shared" ref="I48:J48" si="58">SUM(I49:I64)</f>
        <v>0</v>
      </c>
      <c r="J48" s="78">
        <f t="shared" si="58"/>
        <v>0</v>
      </c>
      <c r="K48" s="78">
        <f t="shared" si="55"/>
        <v>0</v>
      </c>
      <c r="L48" s="78">
        <f t="shared" ref="L48:M48" si="59">SUM(L49:L64)</f>
        <v>0</v>
      </c>
      <c r="M48" s="78">
        <f t="shared" si="59"/>
        <v>0</v>
      </c>
      <c r="N48" s="78">
        <f t="shared" si="55"/>
        <v>28343153</v>
      </c>
      <c r="O48" s="90"/>
      <c r="P48" s="78">
        <f t="shared" ref="P48:AB48" si="60">SUM(P49:P64)</f>
        <v>274839697</v>
      </c>
      <c r="Q48" s="78">
        <f t="shared" ref="Q48" si="61">SUM(Q49:Q64)</f>
        <v>25704974</v>
      </c>
      <c r="R48" s="78">
        <f t="shared" si="60"/>
        <v>25253559</v>
      </c>
      <c r="S48" s="78">
        <f t="shared" ref="S48:T48" si="62">SUM(S49:S64)</f>
        <v>25200857</v>
      </c>
      <c r="T48" s="78">
        <f t="shared" si="62"/>
        <v>24705084</v>
      </c>
      <c r="U48" s="78">
        <f t="shared" si="60"/>
        <v>25034984</v>
      </c>
      <c r="V48" s="78">
        <f t="shared" ref="V48:W48" si="63">SUM(V49:V64)</f>
        <v>25453384</v>
      </c>
      <c r="W48" s="78">
        <f t="shared" si="63"/>
        <v>24717866</v>
      </c>
      <c r="X48" s="78">
        <f t="shared" si="60"/>
        <v>25225031</v>
      </c>
      <c r="Y48" s="78">
        <f t="shared" si="60"/>
        <v>25406890</v>
      </c>
      <c r="Z48" s="78">
        <f t="shared" si="60"/>
        <v>23809324</v>
      </c>
      <c r="AA48" s="78">
        <f t="shared" si="60"/>
        <v>19592880</v>
      </c>
      <c r="AB48" s="78">
        <f t="shared" si="60"/>
        <v>4734864</v>
      </c>
      <c r="AC48" s="90"/>
      <c r="AD48" s="78">
        <f>SUM(AD49:AD64)</f>
        <v>78133865</v>
      </c>
      <c r="AE48" s="78">
        <f>SUM(AE49:AE64)</f>
        <v>4303506</v>
      </c>
      <c r="AF48" s="78">
        <f t="shared" ref="AF48:AP48" si="64">SUM(AF49:AF64)</f>
        <v>4303506</v>
      </c>
      <c r="AG48" s="78">
        <f t="shared" si="64"/>
        <v>4568899</v>
      </c>
      <c r="AH48" s="78">
        <f t="shared" si="64"/>
        <v>6292759</v>
      </c>
      <c r="AI48" s="78">
        <f t="shared" si="64"/>
        <v>6292759</v>
      </c>
      <c r="AJ48" s="78">
        <f>SUM(AJ49:AJ64)</f>
        <v>6292759</v>
      </c>
      <c r="AK48" s="78">
        <f t="shared" si="64"/>
        <v>6528793</v>
      </c>
      <c r="AL48" s="78">
        <f t="shared" si="64"/>
        <v>8282012</v>
      </c>
      <c r="AM48" s="78">
        <f>SUM(AM49:AM64)</f>
        <v>8282012</v>
      </c>
      <c r="AN48" s="78">
        <f t="shared" si="64"/>
        <v>8336012</v>
      </c>
      <c r="AO48" s="78">
        <f t="shared" si="64"/>
        <v>8358088</v>
      </c>
      <c r="AP48" s="78">
        <f t="shared" si="64"/>
        <v>6292760</v>
      </c>
      <c r="AQ48" s="90"/>
      <c r="AR48" s="78">
        <f>SUM(AS48:BD48)</f>
        <v>61808180</v>
      </c>
      <c r="AS48" s="78">
        <f t="shared" ref="AS48:BD48" si="65">SUM(AS49:AS64)</f>
        <v>5656536</v>
      </c>
      <c r="AT48" s="78">
        <f t="shared" si="65"/>
        <v>5587989</v>
      </c>
      <c r="AU48" s="78">
        <f t="shared" si="65"/>
        <v>5678706</v>
      </c>
      <c r="AV48" s="78">
        <f t="shared" si="65"/>
        <v>5204740</v>
      </c>
      <c r="AW48" s="78">
        <f t="shared" si="65"/>
        <v>5628594</v>
      </c>
      <c r="AX48" s="78">
        <f t="shared" si="65"/>
        <v>3793838</v>
      </c>
      <c r="AY48" s="78">
        <f t="shared" si="65"/>
        <v>4758686</v>
      </c>
      <c r="AZ48" s="78">
        <f t="shared" si="65"/>
        <v>3793838</v>
      </c>
      <c r="BA48" s="78">
        <f t="shared" si="65"/>
        <v>3793838</v>
      </c>
      <c r="BB48" s="78">
        <f t="shared" si="65"/>
        <v>8885447</v>
      </c>
      <c r="BC48" s="78">
        <f t="shared" si="65"/>
        <v>3793838</v>
      </c>
      <c r="BD48" s="78">
        <f t="shared" si="65"/>
        <v>5232130</v>
      </c>
      <c r="BE48" s="95"/>
      <c r="BF48" s="78">
        <f>SUM(BF49:BF64)</f>
        <v>44303846.506479949</v>
      </c>
      <c r="BG48" s="78">
        <f t="shared" ref="BG48:BR48" si="66">SUM(BG49:BG66)</f>
        <v>1751117.416176667</v>
      </c>
      <c r="BH48" s="78">
        <f t="shared" si="66"/>
        <v>7284177.4512000009</v>
      </c>
      <c r="BI48" s="78">
        <f t="shared" si="66"/>
        <v>8335077.4512000009</v>
      </c>
      <c r="BJ48" s="78">
        <f t="shared" si="66"/>
        <v>8396593.7217800003</v>
      </c>
      <c r="BK48" s="78">
        <f t="shared" si="66"/>
        <v>5226039.6812199997</v>
      </c>
      <c r="BL48" s="78">
        <f t="shared" si="66"/>
        <v>672313.54799999995</v>
      </c>
      <c r="BM48" s="78">
        <f t="shared" si="66"/>
        <v>0</v>
      </c>
      <c r="BN48" s="78">
        <f t="shared" si="66"/>
        <v>0</v>
      </c>
      <c r="BO48" s="78">
        <f t="shared" si="66"/>
        <v>0</v>
      </c>
      <c r="BP48" s="78">
        <f t="shared" si="66"/>
        <v>0</v>
      </c>
      <c r="BQ48" s="78">
        <f t="shared" si="66"/>
        <v>307332</v>
      </c>
      <c r="BR48" s="78">
        <f t="shared" si="66"/>
        <v>3042927.44</v>
      </c>
      <c r="BS48" s="87"/>
      <c r="BT48" s="78">
        <f>SUM(BT49:BT64)</f>
        <v>17377485</v>
      </c>
      <c r="BU48" s="78">
        <f t="shared" ref="BU48:BZ48" si="67">SUM(BU49:BU66)</f>
        <v>17377485</v>
      </c>
      <c r="BV48" s="78">
        <f t="shared" si="67"/>
        <v>0</v>
      </c>
      <c r="BW48" s="78">
        <f t="shared" si="67"/>
        <v>0</v>
      </c>
      <c r="BX48" s="78">
        <f t="shared" si="67"/>
        <v>0</v>
      </c>
      <c r="BY48" s="78">
        <f t="shared" si="67"/>
        <v>0</v>
      </c>
      <c r="BZ48" s="78">
        <f t="shared" si="67"/>
        <v>0</v>
      </c>
      <c r="CA48" s="87"/>
      <c r="CB48" s="78">
        <f>SUM(CB49:CB66)</f>
        <v>0</v>
      </c>
    </row>
    <row r="49" spans="1:90" ht="12.75" thickTop="1">
      <c r="A49" s="83" t="s">
        <v>253</v>
      </c>
      <c r="B49" s="144">
        <f t="shared" ref="B49:B64" si="68">SUM(C49:N49)</f>
        <v>17758145</v>
      </c>
      <c r="C49" s="144">
        <v>0</v>
      </c>
      <c r="D49" s="144">
        <v>0</v>
      </c>
      <c r="E49" s="144">
        <v>0</v>
      </c>
      <c r="F49" s="144">
        <v>0</v>
      </c>
      <c r="G49" s="144">
        <v>0</v>
      </c>
      <c r="H49" s="144">
        <v>0</v>
      </c>
      <c r="I49" s="144">
        <v>0</v>
      </c>
      <c r="J49" s="144">
        <v>0</v>
      </c>
      <c r="K49" s="144">
        <v>0</v>
      </c>
      <c r="L49" s="144">
        <v>0</v>
      </c>
      <c r="M49" s="144">
        <v>0</v>
      </c>
      <c r="N49" s="144">
        <v>17758145</v>
      </c>
      <c r="O49" s="73"/>
      <c r="P49" s="144">
        <f t="shared" ref="P49:P64" si="69">SUM(Q49:AB49)</f>
        <v>169208484</v>
      </c>
      <c r="Q49" s="144">
        <v>15387400</v>
      </c>
      <c r="R49" s="144">
        <v>15719800</v>
      </c>
      <c r="S49" s="144">
        <v>15719800</v>
      </c>
      <c r="T49" s="144">
        <v>15719800</v>
      </c>
      <c r="U49" s="144">
        <v>15719800</v>
      </c>
      <c r="V49" s="144">
        <v>15719800</v>
      </c>
      <c r="W49" s="144">
        <v>15363734</v>
      </c>
      <c r="X49" s="144">
        <v>14956800</v>
      </c>
      <c r="Y49" s="144">
        <v>15719800</v>
      </c>
      <c r="Z49" s="144">
        <v>14045200</v>
      </c>
      <c r="AA49" s="144">
        <v>12289550</v>
      </c>
      <c r="AB49" s="144">
        <v>2847000</v>
      </c>
      <c r="AC49" s="73"/>
      <c r="AD49" s="144">
        <f>SUM(AE49:AP49)</f>
        <v>48316668</v>
      </c>
      <c r="AE49" s="144">
        <v>2600000</v>
      </c>
      <c r="AF49" s="144">
        <v>2600000</v>
      </c>
      <c r="AG49" s="144">
        <v>2773334</v>
      </c>
      <c r="AH49" s="144">
        <v>3900000</v>
      </c>
      <c r="AI49" s="144">
        <v>3900000</v>
      </c>
      <c r="AJ49" s="144">
        <v>3900000</v>
      </c>
      <c r="AK49" s="144">
        <v>3943334</v>
      </c>
      <c r="AL49" s="144">
        <v>5200000</v>
      </c>
      <c r="AM49" s="144">
        <v>5200000</v>
      </c>
      <c r="AN49" s="144">
        <v>5200000</v>
      </c>
      <c r="AO49" s="144">
        <f>3988333-368333+390000+390000+800000</f>
        <v>5200000</v>
      </c>
      <c r="AP49" s="144">
        <f>3066667-466667+650000+650000</f>
        <v>3900000</v>
      </c>
      <c r="AQ49" s="73"/>
      <c r="AR49" s="337">
        <f>SUM(AS49:BD49)</f>
        <v>38434668</v>
      </c>
      <c r="AS49" s="144">
        <v>3480000</v>
      </c>
      <c r="AT49" s="144">
        <v>3480000</v>
      </c>
      <c r="AU49" s="144">
        <v>3480000</v>
      </c>
      <c r="AV49" s="144">
        <v>3209334</v>
      </c>
      <c r="AW49" s="144">
        <v>3480000</v>
      </c>
      <c r="AX49" s="144">
        <v>2320000</v>
      </c>
      <c r="AY49" s="144">
        <v>2938667</v>
      </c>
      <c r="AZ49" s="144">
        <v>2320000</v>
      </c>
      <c r="BA49" s="144">
        <v>2320000</v>
      </c>
      <c r="BB49" s="144">
        <v>5606667</v>
      </c>
      <c r="BC49" s="144">
        <v>2320000</v>
      </c>
      <c r="BD49" s="144">
        <v>3480000</v>
      </c>
      <c r="BF49" s="144">
        <v>28233333.333333299</v>
      </c>
      <c r="BG49" s="144">
        <v>1000000</v>
      </c>
      <c r="BH49" s="144">
        <v>5000000</v>
      </c>
      <c r="BI49" s="144">
        <v>5000000</v>
      </c>
      <c r="BJ49" s="144">
        <v>4916667</v>
      </c>
      <c r="BK49" s="144">
        <v>2950000</v>
      </c>
      <c r="BL49" s="144">
        <v>450000</v>
      </c>
      <c r="BM49" s="144"/>
      <c r="BN49" s="144"/>
      <c r="BO49" s="144"/>
      <c r="BP49" s="144"/>
      <c r="BQ49" s="144">
        <v>200000</v>
      </c>
      <c r="BR49" s="144">
        <v>2000000</v>
      </c>
      <c r="BT49" s="144">
        <f t="shared" ref="BT49:BU66" si="70">SUM(BU49:BZ49)</f>
        <v>11529800</v>
      </c>
      <c r="BU49" s="144">
        <v>11529800</v>
      </c>
      <c r="BV49" s="144"/>
      <c r="BW49" s="144"/>
      <c r="BX49" s="144"/>
      <c r="BY49" s="144"/>
      <c r="BZ49" s="144"/>
      <c r="CB49" s="144">
        <v>0</v>
      </c>
    </row>
    <row r="50" spans="1:90" hidden="1">
      <c r="A50" s="83" t="s">
        <v>254</v>
      </c>
      <c r="B50" s="144">
        <f t="shared" si="68"/>
        <v>0</v>
      </c>
      <c r="C50" s="144">
        <f t="shared" ref="C50:N50" si="71">SUM(E50:P50)</f>
        <v>0</v>
      </c>
      <c r="D50" s="144">
        <f t="shared" si="71"/>
        <v>0</v>
      </c>
      <c r="E50" s="144">
        <f t="shared" si="71"/>
        <v>0</v>
      </c>
      <c r="F50" s="144">
        <f t="shared" si="71"/>
        <v>0</v>
      </c>
      <c r="G50" s="144">
        <f t="shared" si="71"/>
        <v>0</v>
      </c>
      <c r="H50" s="144">
        <f t="shared" si="71"/>
        <v>0</v>
      </c>
      <c r="I50" s="144">
        <f t="shared" si="71"/>
        <v>0</v>
      </c>
      <c r="J50" s="144">
        <f t="shared" si="71"/>
        <v>0</v>
      </c>
      <c r="K50" s="144">
        <f t="shared" si="71"/>
        <v>0</v>
      </c>
      <c r="L50" s="144">
        <f t="shared" si="71"/>
        <v>0</v>
      </c>
      <c r="M50" s="144">
        <f t="shared" si="71"/>
        <v>0</v>
      </c>
      <c r="N50" s="144">
        <f t="shared" si="71"/>
        <v>0</v>
      </c>
      <c r="O50" s="73"/>
      <c r="P50" s="144">
        <f t="shared" si="69"/>
        <v>0</v>
      </c>
      <c r="Q50" s="144">
        <f t="shared" ref="Q50:AD64" si="72">SUM(R50:AC50)</f>
        <v>0</v>
      </c>
      <c r="R50" s="144">
        <f t="shared" si="72"/>
        <v>0</v>
      </c>
      <c r="S50" s="144">
        <f t="shared" si="72"/>
        <v>0</v>
      </c>
      <c r="T50" s="144">
        <f t="shared" si="72"/>
        <v>0</v>
      </c>
      <c r="U50" s="144">
        <f t="shared" si="72"/>
        <v>0</v>
      </c>
      <c r="V50" s="144">
        <f t="shared" si="72"/>
        <v>0</v>
      </c>
      <c r="W50" s="144">
        <f t="shared" si="72"/>
        <v>0</v>
      </c>
      <c r="X50" s="144">
        <f t="shared" si="72"/>
        <v>0</v>
      </c>
      <c r="Y50" s="144">
        <f t="shared" si="72"/>
        <v>0</v>
      </c>
      <c r="Z50" s="144">
        <f t="shared" si="72"/>
        <v>0</v>
      </c>
      <c r="AA50" s="144">
        <f t="shared" si="72"/>
        <v>0</v>
      </c>
      <c r="AB50" s="144">
        <f t="shared" si="72"/>
        <v>0</v>
      </c>
      <c r="AC50" s="73"/>
      <c r="AD50" s="144">
        <f t="shared" si="72"/>
        <v>0</v>
      </c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73"/>
      <c r="AR50" s="337">
        <f>SUM(AS50:BD50)</f>
        <v>0</v>
      </c>
      <c r="AS50" s="144">
        <v>0</v>
      </c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  <c r="BT50" s="144"/>
      <c r="BU50" s="144"/>
      <c r="BV50" s="144"/>
      <c r="BW50" s="144"/>
      <c r="BX50" s="144"/>
      <c r="BY50" s="144"/>
      <c r="BZ50" s="144"/>
      <c r="CB50" s="144"/>
    </row>
    <row r="51" spans="1:90">
      <c r="A51" s="83" t="s">
        <v>255</v>
      </c>
      <c r="B51" s="144">
        <f t="shared" si="68"/>
        <v>2424525</v>
      </c>
      <c r="C51" s="144">
        <v>0</v>
      </c>
      <c r="D51" s="144">
        <v>0</v>
      </c>
      <c r="E51" s="144">
        <v>0</v>
      </c>
      <c r="F51" s="144">
        <v>0</v>
      </c>
      <c r="G51" s="144">
        <v>0</v>
      </c>
      <c r="H51" s="144">
        <v>0</v>
      </c>
      <c r="I51" s="144">
        <v>0</v>
      </c>
      <c r="J51" s="144">
        <v>0</v>
      </c>
      <c r="K51" s="144">
        <v>0</v>
      </c>
      <c r="L51" s="144">
        <v>0</v>
      </c>
      <c r="M51" s="144">
        <v>0</v>
      </c>
      <c r="N51" s="144">
        <v>2424525</v>
      </c>
      <c r="O51" s="73"/>
      <c r="P51" s="144">
        <f t="shared" si="69"/>
        <v>21953337</v>
      </c>
      <c r="Q51" s="144">
        <v>2000000</v>
      </c>
      <c r="R51" s="144">
        <v>2000000</v>
      </c>
      <c r="S51" s="144">
        <v>2000000</v>
      </c>
      <c r="T51" s="144">
        <v>2000000</v>
      </c>
      <c r="U51" s="144">
        <v>2000000</v>
      </c>
      <c r="V51" s="144">
        <v>2000000</v>
      </c>
      <c r="W51" s="144">
        <v>1953334</v>
      </c>
      <c r="X51" s="144">
        <v>1900000</v>
      </c>
      <c r="Y51" s="144">
        <v>2000000</v>
      </c>
      <c r="Z51" s="144">
        <v>1973334</v>
      </c>
      <c r="AA51" s="144">
        <v>1726669</v>
      </c>
      <c r="AB51" s="144">
        <v>400000</v>
      </c>
      <c r="AC51" s="73"/>
      <c r="AD51" s="144">
        <f t="shared" si="72"/>
        <v>6021000</v>
      </c>
      <c r="AE51" s="144">
        <v>324000</v>
      </c>
      <c r="AF51" s="144">
        <v>324000</v>
      </c>
      <c r="AG51" s="144">
        <v>345600</v>
      </c>
      <c r="AH51" s="144">
        <v>486000</v>
      </c>
      <c r="AI51" s="144">
        <v>486000</v>
      </c>
      <c r="AJ51" s="144">
        <v>486000</v>
      </c>
      <c r="AK51" s="144">
        <v>491400</v>
      </c>
      <c r="AL51" s="144">
        <v>648000</v>
      </c>
      <c r="AM51" s="144">
        <v>648000</v>
      </c>
      <c r="AN51" s="144">
        <f>569700-32400+56700+54000</f>
        <v>648000</v>
      </c>
      <c r="AO51" s="144">
        <f>515700-45900+48600+48600+81000</f>
        <v>648000</v>
      </c>
      <c r="AP51" s="144">
        <f>432000-108000+81000+81000</f>
        <v>486000</v>
      </c>
      <c r="AQ51" s="73"/>
      <c r="AR51" s="337">
        <f t="shared" ref="AR51:AR62" si="73">SUM(AS51:BD51)</f>
        <v>4410342</v>
      </c>
      <c r="AS51" s="144">
        <v>424161</v>
      </c>
      <c r="AT51" s="144">
        <v>400728</v>
      </c>
      <c r="AU51" s="144">
        <v>431192</v>
      </c>
      <c r="AV51" s="144">
        <v>389010</v>
      </c>
      <c r="AW51" s="144">
        <v>421818</v>
      </c>
      <c r="AX51" s="144">
        <v>281212</v>
      </c>
      <c r="AY51" s="144">
        <v>356202</v>
      </c>
      <c r="AZ51" s="144">
        <v>281212</v>
      </c>
      <c r="BA51" s="144">
        <v>281212</v>
      </c>
      <c r="BB51" s="144">
        <v>581171</v>
      </c>
      <c r="BC51" s="144">
        <v>281212</v>
      </c>
      <c r="BD51" s="144">
        <v>281212</v>
      </c>
      <c r="BF51" s="144">
        <v>3308156.13333333</v>
      </c>
      <c r="BG51" s="144">
        <v>117172</v>
      </c>
      <c r="BH51" s="144">
        <v>703032</v>
      </c>
      <c r="BI51" s="144">
        <v>703032</v>
      </c>
      <c r="BJ51" s="144">
        <v>704984</v>
      </c>
      <c r="BK51" s="144">
        <v>511652</v>
      </c>
      <c r="BL51" s="144">
        <v>105456</v>
      </c>
      <c r="BM51" s="144"/>
      <c r="BN51" s="144"/>
      <c r="BO51" s="144"/>
      <c r="BP51" s="144"/>
      <c r="BQ51" s="144">
        <v>23434</v>
      </c>
      <c r="BR51" s="144">
        <v>234344</v>
      </c>
      <c r="BT51" s="144">
        <f t="shared" si="70"/>
        <v>1355514</v>
      </c>
      <c r="BU51" s="144">
        <v>1355514</v>
      </c>
      <c r="BV51" s="144"/>
      <c r="BW51" s="144"/>
      <c r="BX51" s="144"/>
      <c r="BY51" s="144"/>
      <c r="BZ51" s="144"/>
      <c r="CB51" s="144">
        <v>0</v>
      </c>
    </row>
    <row r="52" spans="1:90">
      <c r="A52" s="83" t="s">
        <v>256</v>
      </c>
      <c r="B52" s="144">
        <f t="shared" si="68"/>
        <v>0</v>
      </c>
      <c r="C52" s="144">
        <v>0</v>
      </c>
      <c r="D52" s="144">
        <v>0</v>
      </c>
      <c r="E52" s="144">
        <v>0</v>
      </c>
      <c r="F52" s="144">
        <v>0</v>
      </c>
      <c r="G52" s="144">
        <v>0</v>
      </c>
      <c r="H52" s="144">
        <v>0</v>
      </c>
      <c r="I52" s="144">
        <v>0</v>
      </c>
      <c r="J52" s="144">
        <v>0</v>
      </c>
      <c r="K52" s="144">
        <v>0</v>
      </c>
      <c r="L52" s="144">
        <v>0</v>
      </c>
      <c r="M52" s="144">
        <v>0</v>
      </c>
      <c r="N52" s="144">
        <v>0</v>
      </c>
      <c r="O52" s="73"/>
      <c r="P52" s="144">
        <f t="shared" si="69"/>
        <v>832000</v>
      </c>
      <c r="Q52" s="144">
        <v>0</v>
      </c>
      <c r="R52" s="144">
        <v>0</v>
      </c>
      <c r="S52" s="144">
        <v>0</v>
      </c>
      <c r="T52" s="144">
        <v>0</v>
      </c>
      <c r="U52" s="144">
        <v>300000</v>
      </c>
      <c r="V52" s="144">
        <v>0</v>
      </c>
      <c r="W52" s="144">
        <v>0</v>
      </c>
      <c r="X52" s="144">
        <v>150000</v>
      </c>
      <c r="Y52" s="144">
        <v>0</v>
      </c>
      <c r="Z52" s="144">
        <v>150000</v>
      </c>
      <c r="AA52" s="144">
        <v>232000</v>
      </c>
      <c r="AB52" s="144">
        <f t="shared" si="72"/>
        <v>0</v>
      </c>
      <c r="AC52" s="73"/>
      <c r="AD52" s="144">
        <f t="shared" si="72"/>
        <v>0</v>
      </c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73"/>
      <c r="AR52" s="337">
        <f t="shared" si="73"/>
        <v>0</v>
      </c>
      <c r="AS52" s="144"/>
      <c r="AT52" s="144"/>
      <c r="AU52" s="144"/>
      <c r="AV52" s="144"/>
      <c r="AW52" s="144"/>
      <c r="AX52" s="144"/>
      <c r="AY52" s="144">
        <v>0</v>
      </c>
      <c r="AZ52" s="144">
        <v>0</v>
      </c>
      <c r="BA52" s="144">
        <v>0</v>
      </c>
      <c r="BB52" s="144"/>
      <c r="BC52" s="144">
        <v>0</v>
      </c>
      <c r="BD52" s="144">
        <v>0</v>
      </c>
      <c r="BF52" s="144">
        <v>0</v>
      </c>
      <c r="BG52" s="144">
        <v>0</v>
      </c>
      <c r="BH52" s="144">
        <v>0</v>
      </c>
      <c r="BI52" s="144"/>
      <c r="BJ52" s="144"/>
      <c r="BK52" s="144"/>
      <c r="BL52" s="144"/>
      <c r="BM52" s="144"/>
      <c r="BN52" s="144"/>
      <c r="BO52" s="144"/>
      <c r="BP52" s="144"/>
      <c r="BQ52" s="144"/>
      <c r="BR52" s="144"/>
      <c r="BT52" s="144">
        <f t="shared" si="70"/>
        <v>0</v>
      </c>
      <c r="BU52" s="144"/>
      <c r="BV52" s="144"/>
      <c r="BW52" s="144"/>
      <c r="BX52" s="144"/>
      <c r="BY52" s="144"/>
      <c r="BZ52" s="144"/>
      <c r="CB52" s="144"/>
    </row>
    <row r="53" spans="1:90">
      <c r="A53" s="83" t="s">
        <v>257</v>
      </c>
      <c r="B53" s="144">
        <f t="shared" si="68"/>
        <v>1681892</v>
      </c>
      <c r="C53" s="144">
        <v>0</v>
      </c>
      <c r="D53" s="144">
        <v>0</v>
      </c>
      <c r="E53" s="144">
        <v>0</v>
      </c>
      <c r="F53" s="144">
        <v>0</v>
      </c>
      <c r="G53" s="144">
        <v>0</v>
      </c>
      <c r="H53" s="144">
        <v>0</v>
      </c>
      <c r="I53" s="144">
        <v>0</v>
      </c>
      <c r="J53" s="144">
        <v>0</v>
      </c>
      <c r="K53" s="144">
        <v>0</v>
      </c>
      <c r="L53" s="144">
        <v>0</v>
      </c>
      <c r="M53" s="144">
        <v>0</v>
      </c>
      <c r="N53" s="144">
        <v>1681892</v>
      </c>
      <c r="O53" s="73"/>
      <c r="P53" s="144">
        <f t="shared" si="69"/>
        <v>16086098</v>
      </c>
      <c r="Q53" s="144">
        <v>1604910</v>
      </c>
      <c r="R53" s="144">
        <v>1476648</v>
      </c>
      <c r="S53" s="144">
        <v>1476648</v>
      </c>
      <c r="T53" s="144">
        <v>1476648</v>
      </c>
      <c r="U53" s="144">
        <v>1476648</v>
      </c>
      <c r="V53" s="144">
        <v>1476648</v>
      </c>
      <c r="W53" s="144">
        <v>1443087</v>
      </c>
      <c r="X53" s="144">
        <v>1404732</v>
      </c>
      <c r="Y53" s="144">
        <v>1476648</v>
      </c>
      <c r="Z53" s="144">
        <v>1334880</v>
      </c>
      <c r="AA53" s="144">
        <v>1168017</v>
      </c>
      <c r="AB53" s="144">
        <v>270584</v>
      </c>
      <c r="AC53" s="73"/>
      <c r="AD53" s="144">
        <f t="shared" si="72"/>
        <v>4524066</v>
      </c>
      <c r="AE53" s="144">
        <v>243666</v>
      </c>
      <c r="AF53" s="144">
        <v>243666</v>
      </c>
      <c r="AG53" s="144">
        <v>259910</v>
      </c>
      <c r="AH53" s="144">
        <v>365499</v>
      </c>
      <c r="AI53" s="144">
        <v>365499</v>
      </c>
      <c r="AJ53" s="144">
        <v>365499</v>
      </c>
      <c r="AK53" s="144">
        <v>365499</v>
      </c>
      <c r="AL53" s="144">
        <v>487332</v>
      </c>
      <c r="AM53" s="144">
        <v>487332</v>
      </c>
      <c r="AN53" s="144">
        <f>341914+42641+40611+62166</f>
        <v>487332</v>
      </c>
      <c r="AO53" s="144">
        <v>487332</v>
      </c>
      <c r="AP53" s="144">
        <f>243667+121833</f>
        <v>365500</v>
      </c>
      <c r="AQ53" s="73"/>
      <c r="AR53" s="337">
        <f t="shared" si="73"/>
        <v>3473521</v>
      </c>
      <c r="AS53" s="144">
        <v>326241</v>
      </c>
      <c r="AT53" s="144">
        <v>308771</v>
      </c>
      <c r="AU53" s="144">
        <v>332243</v>
      </c>
      <c r="AV53" s="144">
        <v>299741</v>
      </c>
      <c r="AW53" s="144">
        <v>325020</v>
      </c>
      <c r="AX53" s="144">
        <v>216680</v>
      </c>
      <c r="AY53" s="144">
        <v>274462</v>
      </c>
      <c r="AZ53" s="144">
        <v>216680</v>
      </c>
      <c r="BA53" s="144">
        <v>216680</v>
      </c>
      <c r="BB53" s="144">
        <v>523643</v>
      </c>
      <c r="BC53" s="144">
        <v>216680</v>
      </c>
      <c r="BD53" s="144">
        <v>216680</v>
      </c>
      <c r="BF53" s="144">
        <v>2627406.0725733298</v>
      </c>
      <c r="BG53" s="144">
        <v>130100.941576667</v>
      </c>
      <c r="BH53" s="144">
        <v>500052.56559999997</v>
      </c>
      <c r="BI53" s="144">
        <v>500052.56559999997</v>
      </c>
      <c r="BJ53" s="144">
        <v>493273.59493999998</v>
      </c>
      <c r="BK53" s="144">
        <v>308919.73265999998</v>
      </c>
      <c r="BL53" s="144">
        <v>46269</v>
      </c>
      <c r="BM53" s="144"/>
      <c r="BN53" s="144"/>
      <c r="BO53" s="144"/>
      <c r="BP53" s="144"/>
      <c r="BQ53" s="144">
        <v>18612</v>
      </c>
      <c r="BR53" s="144">
        <v>186120</v>
      </c>
      <c r="BT53" s="144">
        <f t="shared" si="70"/>
        <v>1168238</v>
      </c>
      <c r="BU53" s="144">
        <v>1168238</v>
      </c>
      <c r="BV53" s="144"/>
      <c r="BW53" s="144"/>
      <c r="BX53" s="144"/>
      <c r="BY53" s="144"/>
      <c r="BZ53" s="144"/>
      <c r="CB53" s="144">
        <v>0</v>
      </c>
      <c r="CL53" s="64" t="s">
        <v>157</v>
      </c>
    </row>
    <row r="54" spans="1:90">
      <c r="A54" s="83" t="s">
        <v>258</v>
      </c>
      <c r="B54" s="144">
        <f t="shared" si="68"/>
        <v>201827</v>
      </c>
      <c r="C54" s="144">
        <v>0</v>
      </c>
      <c r="D54" s="144">
        <v>0</v>
      </c>
      <c r="E54" s="144">
        <v>0</v>
      </c>
      <c r="F54" s="144">
        <v>0</v>
      </c>
      <c r="G54" s="144">
        <v>0</v>
      </c>
      <c r="H54" s="144">
        <v>0</v>
      </c>
      <c r="I54" s="144">
        <v>0</v>
      </c>
      <c r="J54" s="144">
        <v>0</v>
      </c>
      <c r="K54" s="144">
        <v>0</v>
      </c>
      <c r="L54" s="144">
        <v>0</v>
      </c>
      <c r="M54" s="144">
        <v>0</v>
      </c>
      <c r="N54" s="144">
        <v>201827</v>
      </c>
      <c r="O54" s="73"/>
      <c r="P54" s="144">
        <f t="shared" si="69"/>
        <v>1803232</v>
      </c>
      <c r="Q54" s="144">
        <f>173874-60862</f>
        <v>113012</v>
      </c>
      <c r="R54" s="144">
        <v>177198</v>
      </c>
      <c r="S54" s="144">
        <f>177198-47527</f>
        <v>129671</v>
      </c>
      <c r="T54" s="144">
        <v>177198</v>
      </c>
      <c r="U54" s="144">
        <v>177198</v>
      </c>
      <c r="V54" s="144">
        <v>177198</v>
      </c>
      <c r="W54" s="144">
        <v>173170</v>
      </c>
      <c r="X54" s="144">
        <v>168568</v>
      </c>
      <c r="Y54" s="144">
        <v>177198</v>
      </c>
      <c r="Z54" s="144">
        <v>160186</v>
      </c>
      <c r="AA54" s="144">
        <v>140165</v>
      </c>
      <c r="AB54" s="144">
        <v>32470</v>
      </c>
      <c r="AC54" s="73"/>
      <c r="AD54" s="144">
        <f t="shared" si="72"/>
        <v>542889</v>
      </c>
      <c r="AE54" s="144">
        <v>29240</v>
      </c>
      <c r="AF54" s="144">
        <v>29240</v>
      </c>
      <c r="AG54" s="144">
        <v>31189</v>
      </c>
      <c r="AH54" s="144">
        <v>43860</v>
      </c>
      <c r="AI54" s="144">
        <v>43860</v>
      </c>
      <c r="AJ54" s="144">
        <v>43860</v>
      </c>
      <c r="AK54" s="144">
        <v>43860</v>
      </c>
      <c r="AL54" s="144">
        <v>58480</v>
      </c>
      <c r="AM54" s="144">
        <v>58480</v>
      </c>
      <c r="AN54" s="144">
        <f>41030+5117+4873+7460</f>
        <v>58480</v>
      </c>
      <c r="AO54" s="144">
        <f>40898+4386+4386+8810</f>
        <v>58480</v>
      </c>
      <c r="AP54" s="144">
        <f>29240+14620</f>
        <v>43860</v>
      </c>
      <c r="AQ54" s="73"/>
      <c r="AR54" s="337">
        <f t="shared" si="73"/>
        <v>416988</v>
      </c>
      <c r="AS54" s="144">
        <v>39165</v>
      </c>
      <c r="AT54" s="144">
        <v>37067</v>
      </c>
      <c r="AU54" s="144">
        <v>39885</v>
      </c>
      <c r="AV54" s="144">
        <v>35983</v>
      </c>
      <c r="AW54" s="144">
        <v>39018</v>
      </c>
      <c r="AX54" s="144">
        <v>26012</v>
      </c>
      <c r="AY54" s="144">
        <v>32949</v>
      </c>
      <c r="AZ54" s="144">
        <v>26012</v>
      </c>
      <c r="BA54" s="144">
        <v>26012</v>
      </c>
      <c r="BB54" s="144">
        <v>62861</v>
      </c>
      <c r="BC54" s="144">
        <v>26012</v>
      </c>
      <c r="BD54" s="144">
        <v>26012</v>
      </c>
      <c r="BF54" s="144">
        <v>315414.89466666698</v>
      </c>
      <c r="BG54" s="144">
        <v>15618.360333333299</v>
      </c>
      <c r="BH54" s="144">
        <v>60030.32</v>
      </c>
      <c r="BI54" s="144">
        <v>60030.32</v>
      </c>
      <c r="BJ54" s="144">
        <v>59216.517999999996</v>
      </c>
      <c r="BK54" s="144">
        <v>37085.201999999997</v>
      </c>
      <c r="BL54" s="144">
        <v>5554.5479999999998</v>
      </c>
      <c r="BM54" s="144"/>
      <c r="BN54" s="144"/>
      <c r="BO54" s="144"/>
      <c r="BP54" s="144"/>
      <c r="BQ54" s="144">
        <v>2234</v>
      </c>
      <c r="BR54" s="144">
        <v>22343.439999999999</v>
      </c>
      <c r="BT54" s="144">
        <f t="shared" si="70"/>
        <v>140245</v>
      </c>
      <c r="BU54" s="144">
        <v>140245</v>
      </c>
      <c r="BV54" s="144"/>
      <c r="BW54" s="144"/>
      <c r="BX54" s="144"/>
      <c r="BY54" s="144"/>
      <c r="BZ54" s="144"/>
      <c r="CB54" s="144">
        <v>0</v>
      </c>
    </row>
    <row r="55" spans="1:90">
      <c r="A55" s="83" t="s">
        <v>259</v>
      </c>
      <c r="B55" s="144">
        <f t="shared" si="68"/>
        <v>1752650</v>
      </c>
      <c r="C55" s="144">
        <v>0</v>
      </c>
      <c r="D55" s="144">
        <v>0</v>
      </c>
      <c r="E55" s="144">
        <v>0</v>
      </c>
      <c r="F55" s="144">
        <v>0</v>
      </c>
      <c r="G55" s="144">
        <v>0</v>
      </c>
      <c r="H55" s="144">
        <v>0</v>
      </c>
      <c r="I55" s="144">
        <v>0</v>
      </c>
      <c r="J55" s="144">
        <v>0</v>
      </c>
      <c r="K55" s="144">
        <v>0</v>
      </c>
      <c r="L55" s="144">
        <v>0</v>
      </c>
      <c r="M55" s="144">
        <v>0</v>
      </c>
      <c r="N55" s="144">
        <v>1752650</v>
      </c>
      <c r="O55" s="73"/>
      <c r="P55" s="144">
        <f t="shared" si="69"/>
        <v>17033514</v>
      </c>
      <c r="Q55" s="144">
        <v>2152326</v>
      </c>
      <c r="R55" s="144">
        <v>1526648</v>
      </c>
      <c r="S55" s="144">
        <v>1526648</v>
      </c>
      <c r="T55" s="144">
        <v>1526648</v>
      </c>
      <c r="U55" s="144">
        <v>1526648</v>
      </c>
      <c r="V55" s="144">
        <v>1526648</v>
      </c>
      <c r="W55" s="144">
        <v>1468087</v>
      </c>
      <c r="X55" s="144">
        <v>1429732</v>
      </c>
      <c r="Y55" s="144">
        <v>1501648</v>
      </c>
      <c r="Z55" s="144">
        <v>1359880</v>
      </c>
      <c r="AA55" s="144">
        <v>1193017</v>
      </c>
      <c r="AB55" s="144">
        <v>295584</v>
      </c>
      <c r="AC55" s="73"/>
      <c r="AD55" s="144">
        <f t="shared" si="72"/>
        <v>4824066</v>
      </c>
      <c r="AE55" s="144">
        <v>268666</v>
      </c>
      <c r="AF55" s="144">
        <v>268666</v>
      </c>
      <c r="AG55" s="144">
        <v>284910</v>
      </c>
      <c r="AH55" s="144">
        <v>390499</v>
      </c>
      <c r="AI55" s="144">
        <v>390499</v>
      </c>
      <c r="AJ55" s="144">
        <v>390499</v>
      </c>
      <c r="AK55" s="144">
        <v>390499</v>
      </c>
      <c r="AL55" s="144">
        <v>512332</v>
      </c>
      <c r="AM55" s="144">
        <v>512332</v>
      </c>
      <c r="AN55" s="144">
        <f>366914+42641+40611+62166</f>
        <v>512332</v>
      </c>
      <c r="AO55" s="144">
        <v>512332</v>
      </c>
      <c r="AP55" s="144">
        <f>268667+121833</f>
        <v>390500</v>
      </c>
      <c r="AQ55" s="73"/>
      <c r="AR55" s="337">
        <f t="shared" si="73"/>
        <v>3473521</v>
      </c>
      <c r="AS55" s="144">
        <v>326241</v>
      </c>
      <c r="AT55" s="144">
        <v>308771</v>
      </c>
      <c r="AU55" s="144">
        <v>332243</v>
      </c>
      <c r="AV55" s="144">
        <v>299741</v>
      </c>
      <c r="AW55" s="144">
        <v>325020</v>
      </c>
      <c r="AX55" s="144">
        <v>216680</v>
      </c>
      <c r="AY55" s="144">
        <v>274462</v>
      </c>
      <c r="AZ55" s="144">
        <v>216680</v>
      </c>
      <c r="BA55" s="144">
        <v>216680</v>
      </c>
      <c r="BB55" s="144">
        <v>523643</v>
      </c>
      <c r="BC55" s="144">
        <v>216680</v>
      </c>
      <c r="BD55" s="144">
        <v>216680</v>
      </c>
      <c r="BF55" s="144">
        <v>2627406.0725733298</v>
      </c>
      <c r="BG55" s="144">
        <v>130100.941576667</v>
      </c>
      <c r="BH55" s="144">
        <v>500052.56559999997</v>
      </c>
      <c r="BI55" s="144">
        <v>500052.56559999997</v>
      </c>
      <c r="BJ55" s="144">
        <v>493273.59493999998</v>
      </c>
      <c r="BK55" s="144">
        <v>308919.73265999998</v>
      </c>
      <c r="BL55" s="144">
        <v>46269</v>
      </c>
      <c r="BM55" s="144"/>
      <c r="BN55" s="144"/>
      <c r="BO55" s="144"/>
      <c r="BP55" s="144"/>
      <c r="BQ55" s="144">
        <v>18612</v>
      </c>
      <c r="BR55" s="144">
        <v>186120</v>
      </c>
      <c r="BT55" s="144">
        <f t="shared" si="70"/>
        <v>1168238</v>
      </c>
      <c r="BU55" s="144">
        <v>1168238</v>
      </c>
      <c r="BV55" s="144"/>
      <c r="BW55" s="144"/>
      <c r="BX55" s="144"/>
      <c r="BY55" s="144"/>
      <c r="BZ55" s="144"/>
      <c r="CB55" s="144">
        <v>0</v>
      </c>
    </row>
    <row r="56" spans="1:90">
      <c r="A56" s="83" t="s">
        <v>260</v>
      </c>
      <c r="B56" s="144">
        <f t="shared" si="68"/>
        <v>739919</v>
      </c>
      <c r="C56" s="144">
        <v>0</v>
      </c>
      <c r="D56" s="144">
        <v>0</v>
      </c>
      <c r="E56" s="144">
        <v>0</v>
      </c>
      <c r="F56" s="144">
        <v>0</v>
      </c>
      <c r="G56" s="144">
        <v>0</v>
      </c>
      <c r="H56" s="144">
        <v>0</v>
      </c>
      <c r="I56" s="144">
        <v>0</v>
      </c>
      <c r="J56" s="144">
        <v>0</v>
      </c>
      <c r="K56" s="144">
        <v>0</v>
      </c>
      <c r="L56" s="144">
        <v>0</v>
      </c>
      <c r="M56" s="144">
        <v>0</v>
      </c>
      <c r="N56" s="144">
        <v>739919</v>
      </c>
      <c r="O56" s="73"/>
      <c r="P56" s="144">
        <f t="shared" si="69"/>
        <v>7128327</v>
      </c>
      <c r="Q56" s="144">
        <v>719126</v>
      </c>
      <c r="R56" s="144">
        <v>654990</v>
      </c>
      <c r="S56" s="144">
        <v>654990</v>
      </c>
      <c r="T56" s="144">
        <v>654990</v>
      </c>
      <c r="U56" s="144">
        <v>654990</v>
      </c>
      <c r="V56" s="144">
        <v>654990</v>
      </c>
      <c r="W56" s="144">
        <f>672093-31939</f>
        <v>640154</v>
      </c>
      <c r="X56" s="144">
        <v>623199</v>
      </c>
      <c r="Y56" s="144">
        <v>654990</v>
      </c>
      <c r="Z56" s="144">
        <v>585220</v>
      </c>
      <c r="AA56" s="144">
        <v>512062</v>
      </c>
      <c r="AB56" s="144">
        <v>118626</v>
      </c>
      <c r="AC56" s="73"/>
      <c r="AD56" s="144">
        <f t="shared" si="72"/>
        <v>2011400</v>
      </c>
      <c r="AE56" s="144">
        <v>108334</v>
      </c>
      <c r="AF56" s="144">
        <v>108334</v>
      </c>
      <c r="AG56" s="144">
        <v>115556</v>
      </c>
      <c r="AH56" s="144">
        <v>162501</v>
      </c>
      <c r="AI56" s="144">
        <v>162501</v>
      </c>
      <c r="AJ56" s="144">
        <v>162501</v>
      </c>
      <c r="AK56" s="144">
        <v>162501</v>
      </c>
      <c r="AL56" s="144">
        <v>216668</v>
      </c>
      <c r="AM56" s="144">
        <v>216668</v>
      </c>
      <c r="AN56" s="144">
        <f>148569+18959+18056+31084</f>
        <v>216668</v>
      </c>
      <c r="AO56" s="144">
        <v>216668</v>
      </c>
      <c r="AP56" s="144">
        <f>108333+54167</f>
        <v>162500</v>
      </c>
      <c r="AQ56" s="73"/>
      <c r="AR56" s="337">
        <f t="shared" si="73"/>
        <v>1551126</v>
      </c>
      <c r="AS56" s="144">
        <v>145922</v>
      </c>
      <c r="AT56" s="144">
        <v>137860</v>
      </c>
      <c r="AU56" s="144">
        <v>148341</v>
      </c>
      <c r="AV56" s="144">
        <v>133829</v>
      </c>
      <c r="AW56" s="144">
        <v>145116</v>
      </c>
      <c r="AX56" s="144">
        <v>96744</v>
      </c>
      <c r="AY56" s="144">
        <v>122542</v>
      </c>
      <c r="AZ56" s="144">
        <v>96744</v>
      </c>
      <c r="BA56" s="144">
        <v>96744</v>
      </c>
      <c r="BB56" s="144">
        <v>233796</v>
      </c>
      <c r="BC56" s="144">
        <v>96744</v>
      </c>
      <c r="BD56" s="144">
        <v>96744</v>
      </c>
      <c r="BF56" s="144">
        <v>1177330</v>
      </c>
      <c r="BG56" s="144">
        <v>58125.172689999999</v>
      </c>
      <c r="BH56" s="144">
        <v>221010</v>
      </c>
      <c r="BI56" s="144">
        <v>221010</v>
      </c>
      <c r="BJ56" s="144">
        <v>217535.01389999999</v>
      </c>
      <c r="BK56" s="144">
        <v>131355.01389999999</v>
      </c>
      <c r="BL56" s="144">
        <v>18765</v>
      </c>
      <c r="BM56" s="144"/>
      <c r="BN56" s="144"/>
      <c r="BO56" s="144"/>
      <c r="BP56" s="144"/>
      <c r="BQ56" s="144">
        <v>8340</v>
      </c>
      <c r="BR56" s="144">
        <v>83400</v>
      </c>
      <c r="BT56" s="144">
        <f t="shared" si="70"/>
        <v>522650</v>
      </c>
      <c r="BU56" s="144">
        <v>522650</v>
      </c>
      <c r="BV56" s="144"/>
      <c r="BW56" s="144"/>
      <c r="BX56" s="144"/>
      <c r="BY56" s="144"/>
      <c r="BZ56" s="144"/>
      <c r="CB56" s="144">
        <v>0</v>
      </c>
    </row>
    <row r="57" spans="1:90">
      <c r="A57" s="83" t="s">
        <v>261</v>
      </c>
      <c r="B57" s="144">
        <f t="shared" si="68"/>
        <v>849095</v>
      </c>
      <c r="C57" s="144">
        <v>0</v>
      </c>
      <c r="D57" s="144">
        <v>0</v>
      </c>
      <c r="E57" s="144">
        <v>0</v>
      </c>
      <c r="F57" s="144">
        <v>0</v>
      </c>
      <c r="G57" s="144">
        <v>0</v>
      </c>
      <c r="H57" s="144">
        <v>0</v>
      </c>
      <c r="I57" s="144">
        <v>0</v>
      </c>
      <c r="J57" s="144">
        <v>0</v>
      </c>
      <c r="K57" s="144">
        <v>0</v>
      </c>
      <c r="L57" s="144">
        <v>0</v>
      </c>
      <c r="M57" s="144">
        <v>0</v>
      </c>
      <c r="N57" s="144">
        <v>849095</v>
      </c>
      <c r="O57" s="73"/>
      <c r="P57" s="144">
        <f t="shared" si="69"/>
        <v>11000530</v>
      </c>
      <c r="Q57" s="144">
        <v>1095000</v>
      </c>
      <c r="R57" s="144">
        <v>1095000</v>
      </c>
      <c r="S57" s="144">
        <v>1095000</v>
      </c>
      <c r="T57" s="144">
        <v>600000</v>
      </c>
      <c r="U57" s="144">
        <v>600000</v>
      </c>
      <c r="V57" s="144">
        <v>900000</v>
      </c>
      <c r="W57" s="144">
        <v>1077000</v>
      </c>
      <c r="X57" s="144">
        <f>600000+477000</f>
        <v>1077000</v>
      </c>
      <c r="Y57" s="144">
        <v>1278506</v>
      </c>
      <c r="Z57" s="144">
        <v>1583024</v>
      </c>
      <c r="AA57" s="144">
        <v>300000</v>
      </c>
      <c r="AB57" s="144">
        <v>300000</v>
      </c>
      <c r="AC57" s="73"/>
      <c r="AD57" s="144">
        <f t="shared" si="72"/>
        <v>3730076</v>
      </c>
      <c r="AE57" s="144">
        <v>300000</v>
      </c>
      <c r="AF57" s="144">
        <v>300000</v>
      </c>
      <c r="AG57" s="144">
        <v>300000</v>
      </c>
      <c r="AH57" s="144">
        <v>300000</v>
      </c>
      <c r="AI57" s="144">
        <v>300000</v>
      </c>
      <c r="AJ57" s="144">
        <v>300000</v>
      </c>
      <c r="AK57" s="144">
        <v>300000</v>
      </c>
      <c r="AL57" s="144">
        <v>300000</v>
      </c>
      <c r="AM57" s="144">
        <v>300000</v>
      </c>
      <c r="AN57" s="144">
        <v>354000</v>
      </c>
      <c r="AO57" s="144">
        <f>376076</f>
        <v>376076</v>
      </c>
      <c r="AP57" s="144">
        <v>300000</v>
      </c>
      <c r="AQ57" s="73"/>
      <c r="AR57" s="337">
        <f t="shared" si="73"/>
        <v>3600000</v>
      </c>
      <c r="AS57" s="144">
        <v>300000</v>
      </c>
      <c r="AT57" s="144">
        <v>300000</v>
      </c>
      <c r="AU57" s="144">
        <v>300000</v>
      </c>
      <c r="AV57" s="144">
        <v>300000</v>
      </c>
      <c r="AW57" s="144">
        <v>300000</v>
      </c>
      <c r="AX57" s="144">
        <v>300000</v>
      </c>
      <c r="AY57" s="144">
        <v>300000</v>
      </c>
      <c r="AZ57" s="144">
        <v>300000</v>
      </c>
      <c r="BA57" s="144">
        <v>300000</v>
      </c>
      <c r="BB57" s="144">
        <v>300000</v>
      </c>
      <c r="BC57" s="144">
        <v>300000</v>
      </c>
      <c r="BD57" s="144">
        <v>300000</v>
      </c>
      <c r="BF57" s="144">
        <v>1200000</v>
      </c>
      <c r="BG57" s="144">
        <v>300000</v>
      </c>
      <c r="BH57" s="144">
        <v>300000</v>
      </c>
      <c r="BI57" s="144">
        <v>300000</v>
      </c>
      <c r="BJ57" s="144">
        <v>300000</v>
      </c>
      <c r="BK57" s="144"/>
      <c r="BL57" s="144"/>
      <c r="BM57" s="144"/>
      <c r="BN57" s="144"/>
      <c r="BO57" s="144"/>
      <c r="BP57" s="144"/>
      <c r="BQ57" s="144"/>
      <c r="BR57" s="144"/>
      <c r="BT57" s="144">
        <f t="shared" si="70"/>
        <v>0</v>
      </c>
      <c r="BU57" s="144"/>
      <c r="BV57" s="144"/>
      <c r="BW57" s="144"/>
      <c r="BX57" s="144"/>
      <c r="BY57" s="144"/>
      <c r="BZ57" s="144"/>
      <c r="CB57" s="144"/>
    </row>
    <row r="58" spans="1:90">
      <c r="A58" s="83" t="s">
        <v>262</v>
      </c>
      <c r="B58" s="144">
        <f t="shared" si="68"/>
        <v>0</v>
      </c>
      <c r="C58" s="144">
        <v>0</v>
      </c>
      <c r="D58" s="144">
        <v>0</v>
      </c>
      <c r="E58" s="144">
        <v>0</v>
      </c>
      <c r="F58" s="144">
        <v>0</v>
      </c>
      <c r="G58" s="144">
        <v>0</v>
      </c>
      <c r="H58" s="144">
        <v>0</v>
      </c>
      <c r="I58" s="144">
        <v>0</v>
      </c>
      <c r="J58" s="144">
        <v>0</v>
      </c>
      <c r="K58" s="144">
        <v>0</v>
      </c>
      <c r="L58" s="144">
        <v>0</v>
      </c>
      <c r="M58" s="144">
        <v>0</v>
      </c>
      <c r="N58" s="144">
        <v>0</v>
      </c>
      <c r="O58" s="73"/>
      <c r="P58" s="144">
        <f t="shared" si="69"/>
        <v>1443000</v>
      </c>
      <c r="Q58" s="144">
        <v>0</v>
      </c>
      <c r="R58" s="144">
        <v>0</v>
      </c>
      <c r="S58" s="144">
        <v>0</v>
      </c>
      <c r="T58" s="144">
        <v>0</v>
      </c>
      <c r="U58" s="144">
        <v>0</v>
      </c>
      <c r="V58" s="144">
        <v>400000</v>
      </c>
      <c r="W58" s="144">
        <v>0</v>
      </c>
      <c r="X58" s="144">
        <v>1043000</v>
      </c>
      <c r="Y58" s="144">
        <f t="shared" si="72"/>
        <v>0</v>
      </c>
      <c r="Z58" s="144">
        <f t="shared" si="72"/>
        <v>0</v>
      </c>
      <c r="AA58" s="144">
        <f t="shared" si="72"/>
        <v>0</v>
      </c>
      <c r="AB58" s="144">
        <f t="shared" si="72"/>
        <v>0</v>
      </c>
      <c r="AC58" s="73"/>
      <c r="AD58" s="144">
        <f t="shared" si="72"/>
        <v>0</v>
      </c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73"/>
      <c r="AR58" s="337">
        <f t="shared" si="73"/>
        <v>0</v>
      </c>
      <c r="AS58" s="144"/>
      <c r="AT58" s="144"/>
      <c r="AU58" s="144"/>
      <c r="AV58" s="144"/>
      <c r="AW58" s="144"/>
      <c r="AX58" s="144"/>
      <c r="AY58" s="144">
        <v>0</v>
      </c>
      <c r="AZ58" s="144">
        <v>0</v>
      </c>
      <c r="BA58" s="144">
        <v>0</v>
      </c>
      <c r="BB58" s="144">
        <v>0</v>
      </c>
      <c r="BC58" s="144"/>
      <c r="BD58" s="144">
        <v>0</v>
      </c>
      <c r="BF58" s="144"/>
      <c r="BG58" s="144"/>
      <c r="BH58" s="144"/>
      <c r="BI58" s="144"/>
      <c r="BJ58" s="144"/>
      <c r="BK58" s="144"/>
      <c r="BL58" s="144"/>
      <c r="BM58" s="144"/>
      <c r="BN58" s="144"/>
      <c r="BO58" s="144"/>
      <c r="BP58" s="144"/>
      <c r="BQ58" s="144"/>
      <c r="BR58" s="144"/>
      <c r="BT58" s="144">
        <f t="shared" si="70"/>
        <v>0</v>
      </c>
      <c r="BU58" s="144"/>
      <c r="BV58" s="144"/>
      <c r="BW58" s="144"/>
      <c r="BX58" s="144"/>
      <c r="BY58" s="144"/>
      <c r="BZ58" s="144"/>
      <c r="CB58" s="144"/>
    </row>
    <row r="59" spans="1:90" hidden="1">
      <c r="A59" s="83" t="s">
        <v>263</v>
      </c>
      <c r="B59" s="144">
        <f t="shared" si="68"/>
        <v>0</v>
      </c>
      <c r="C59" s="144">
        <f t="shared" ref="C59:N59" si="74">SUM(E59:P59)</f>
        <v>0</v>
      </c>
      <c r="D59" s="144">
        <f t="shared" si="74"/>
        <v>0</v>
      </c>
      <c r="E59" s="144">
        <f t="shared" si="74"/>
        <v>0</v>
      </c>
      <c r="F59" s="144">
        <f t="shared" si="74"/>
        <v>0</v>
      </c>
      <c r="G59" s="144">
        <f t="shared" si="74"/>
        <v>0</v>
      </c>
      <c r="H59" s="144">
        <f t="shared" si="74"/>
        <v>0</v>
      </c>
      <c r="I59" s="144">
        <f t="shared" si="74"/>
        <v>0</v>
      </c>
      <c r="J59" s="144">
        <f t="shared" si="74"/>
        <v>0</v>
      </c>
      <c r="K59" s="144">
        <f t="shared" si="74"/>
        <v>0</v>
      </c>
      <c r="L59" s="144">
        <f t="shared" si="74"/>
        <v>0</v>
      </c>
      <c r="M59" s="144">
        <f t="shared" si="74"/>
        <v>0</v>
      </c>
      <c r="N59" s="144">
        <f t="shared" si="74"/>
        <v>0</v>
      </c>
      <c r="O59" s="73"/>
      <c r="P59" s="144">
        <f t="shared" si="69"/>
        <v>0</v>
      </c>
      <c r="Q59" s="144">
        <f t="shared" si="72"/>
        <v>0</v>
      </c>
      <c r="R59" s="144">
        <f t="shared" si="72"/>
        <v>0</v>
      </c>
      <c r="S59" s="144">
        <f t="shared" si="72"/>
        <v>0</v>
      </c>
      <c r="T59" s="144">
        <f t="shared" si="72"/>
        <v>0</v>
      </c>
      <c r="U59" s="144">
        <f t="shared" si="72"/>
        <v>0</v>
      </c>
      <c r="V59" s="144">
        <f t="shared" si="72"/>
        <v>0</v>
      </c>
      <c r="W59" s="144">
        <f t="shared" si="72"/>
        <v>0</v>
      </c>
      <c r="X59" s="144">
        <f t="shared" si="72"/>
        <v>0</v>
      </c>
      <c r="Y59" s="144">
        <f t="shared" si="72"/>
        <v>0</v>
      </c>
      <c r="Z59" s="144">
        <f t="shared" si="72"/>
        <v>0</v>
      </c>
      <c r="AA59" s="144">
        <f t="shared" si="72"/>
        <v>0</v>
      </c>
      <c r="AB59" s="144">
        <f t="shared" si="72"/>
        <v>0</v>
      </c>
      <c r="AC59" s="73"/>
      <c r="AD59" s="144">
        <f t="shared" si="72"/>
        <v>0</v>
      </c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73"/>
      <c r="AR59" s="337">
        <f t="shared" si="73"/>
        <v>0</v>
      </c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F59" s="144"/>
      <c r="BG59" s="144"/>
      <c r="BH59" s="144"/>
      <c r="BI59" s="144"/>
      <c r="BJ59" s="144"/>
      <c r="BK59" s="144"/>
      <c r="BL59" s="144"/>
      <c r="BM59" s="144"/>
      <c r="BN59" s="144"/>
      <c r="BO59" s="144"/>
      <c r="BP59" s="144"/>
      <c r="BQ59" s="144"/>
      <c r="BR59" s="144"/>
      <c r="BT59" s="144">
        <f t="shared" si="70"/>
        <v>0</v>
      </c>
      <c r="BU59" s="144"/>
      <c r="BV59" s="144"/>
      <c r="BW59" s="144"/>
      <c r="BX59" s="144"/>
      <c r="BY59" s="144"/>
      <c r="BZ59" s="144"/>
      <c r="CB59" s="144"/>
    </row>
    <row r="60" spans="1:90">
      <c r="A60" s="73" t="s">
        <v>588</v>
      </c>
      <c r="B60" s="144">
        <f t="shared" si="68"/>
        <v>0</v>
      </c>
      <c r="C60" s="144">
        <v>0</v>
      </c>
      <c r="D60" s="144">
        <v>0</v>
      </c>
      <c r="E60" s="144">
        <v>0</v>
      </c>
      <c r="F60" s="144">
        <v>0</v>
      </c>
      <c r="G60" s="144">
        <v>0</v>
      </c>
      <c r="H60" s="144">
        <v>0</v>
      </c>
      <c r="I60" s="144">
        <v>0</v>
      </c>
      <c r="J60" s="144">
        <v>0</v>
      </c>
      <c r="K60" s="144">
        <v>0</v>
      </c>
      <c r="L60" s="144">
        <v>0</v>
      </c>
      <c r="M60" s="144">
        <v>0</v>
      </c>
      <c r="N60" s="144">
        <v>0</v>
      </c>
      <c r="O60" s="73"/>
      <c r="P60" s="144">
        <f t="shared" si="69"/>
        <v>446000</v>
      </c>
      <c r="Q60" s="144">
        <v>90000</v>
      </c>
      <c r="R60" s="144">
        <v>0</v>
      </c>
      <c r="S60" s="144">
        <v>0</v>
      </c>
      <c r="T60" s="144">
        <v>0</v>
      </c>
      <c r="U60" s="144">
        <v>0</v>
      </c>
      <c r="V60" s="144">
        <v>0</v>
      </c>
      <c r="W60" s="144">
        <v>60000</v>
      </c>
      <c r="X60" s="144">
        <v>0</v>
      </c>
      <c r="Y60" s="144">
        <v>0</v>
      </c>
      <c r="Z60" s="144">
        <v>296000</v>
      </c>
      <c r="AA60" s="144">
        <v>0</v>
      </c>
      <c r="AB60" s="144">
        <v>0</v>
      </c>
      <c r="AC60" s="73"/>
      <c r="AD60" s="144">
        <f t="shared" si="72"/>
        <v>180000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6">
        <v>0</v>
      </c>
      <c r="AK60" s="86">
        <v>180000</v>
      </c>
      <c r="AL60" s="86">
        <v>0</v>
      </c>
      <c r="AM60" s="86">
        <v>0</v>
      </c>
      <c r="AN60" s="86">
        <v>0</v>
      </c>
      <c r="AO60" s="86">
        <v>0</v>
      </c>
      <c r="AP60" s="86">
        <v>0</v>
      </c>
      <c r="AQ60" s="73"/>
      <c r="AR60" s="144">
        <v>0</v>
      </c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94"/>
      <c r="BF60" s="86">
        <f>SUM(BM60:BR60)</f>
        <v>0</v>
      </c>
      <c r="BG60" s="86"/>
      <c r="BH60" s="86"/>
      <c r="BI60" s="94"/>
      <c r="BJ60" s="94"/>
      <c r="BK60" s="94"/>
      <c r="BL60" s="94"/>
      <c r="BM60" s="94"/>
      <c r="BN60" s="94"/>
      <c r="BO60" s="94"/>
      <c r="BP60" s="94"/>
      <c r="BQ60" s="94"/>
      <c r="BR60" s="94"/>
      <c r="BT60" s="94">
        <f>SUM(BU60:BZ60)</f>
        <v>0</v>
      </c>
      <c r="BU60" s="94"/>
      <c r="BV60" s="94"/>
      <c r="BW60" s="94"/>
      <c r="BX60" s="94"/>
      <c r="BY60" s="94"/>
      <c r="BZ60" s="94"/>
      <c r="CB60" s="94"/>
    </row>
    <row r="61" spans="1:90">
      <c r="A61" s="83" t="s">
        <v>264</v>
      </c>
      <c r="B61" s="144">
        <f t="shared" si="68"/>
        <v>93300</v>
      </c>
      <c r="C61" s="144">
        <v>0</v>
      </c>
      <c r="D61" s="144">
        <v>0</v>
      </c>
      <c r="E61" s="144">
        <v>0</v>
      </c>
      <c r="F61" s="144">
        <v>0</v>
      </c>
      <c r="G61" s="144">
        <v>0</v>
      </c>
      <c r="H61" s="144">
        <v>0</v>
      </c>
      <c r="I61" s="144">
        <v>0</v>
      </c>
      <c r="J61" s="144">
        <v>0</v>
      </c>
      <c r="K61" s="144">
        <v>0</v>
      </c>
      <c r="L61" s="144">
        <v>0</v>
      </c>
      <c r="M61" s="144">
        <v>0</v>
      </c>
      <c r="N61" s="144">
        <v>93300</v>
      </c>
      <c r="O61" s="73"/>
      <c r="P61" s="144">
        <f t="shared" si="69"/>
        <v>881100</v>
      </c>
      <c r="Q61" s="144">
        <v>80800</v>
      </c>
      <c r="R61" s="144">
        <v>82500</v>
      </c>
      <c r="S61" s="144">
        <v>82500</v>
      </c>
      <c r="T61" s="144">
        <v>76900</v>
      </c>
      <c r="U61" s="144">
        <v>80400</v>
      </c>
      <c r="V61" s="144">
        <v>82500</v>
      </c>
      <c r="W61" s="144">
        <v>80700</v>
      </c>
      <c r="X61" s="144">
        <v>78500</v>
      </c>
      <c r="Y61" s="144">
        <v>82500</v>
      </c>
      <c r="Z61" s="144">
        <v>74000</v>
      </c>
      <c r="AA61" s="144">
        <v>64800</v>
      </c>
      <c r="AB61" s="144">
        <v>15000</v>
      </c>
      <c r="AC61" s="73"/>
      <c r="AD61" s="144">
        <f t="shared" si="72"/>
        <v>252900</v>
      </c>
      <c r="AE61" s="144">
        <v>13600</v>
      </c>
      <c r="AF61" s="144">
        <v>13600</v>
      </c>
      <c r="AG61" s="144">
        <v>14600</v>
      </c>
      <c r="AH61" s="144">
        <v>20400</v>
      </c>
      <c r="AI61" s="144">
        <v>20400</v>
      </c>
      <c r="AJ61" s="144">
        <v>20400</v>
      </c>
      <c r="AK61" s="144">
        <v>20700</v>
      </c>
      <c r="AL61" s="144">
        <v>27200</v>
      </c>
      <c r="AM61" s="144">
        <v>27200</v>
      </c>
      <c r="AN61" s="144">
        <v>27200</v>
      </c>
      <c r="AO61" s="144">
        <v>27200</v>
      </c>
      <c r="AP61" s="144">
        <v>20400</v>
      </c>
      <c r="AQ61" s="73"/>
      <c r="AR61" s="337">
        <f t="shared" si="73"/>
        <v>436700</v>
      </c>
      <c r="AS61" s="144">
        <v>58492</v>
      </c>
      <c r="AT61" s="144">
        <v>58492</v>
      </c>
      <c r="AU61" s="144">
        <v>58492</v>
      </c>
      <c r="AV61" s="144">
        <v>34892</v>
      </c>
      <c r="AW61" s="144">
        <v>36292</v>
      </c>
      <c r="AX61" s="144">
        <v>12200</v>
      </c>
      <c r="AY61" s="144">
        <v>11292</v>
      </c>
      <c r="AZ61" s="144">
        <v>12200</v>
      </c>
      <c r="BA61" s="144">
        <v>12200</v>
      </c>
      <c r="BB61" s="144">
        <v>71456</v>
      </c>
      <c r="BC61" s="144">
        <v>12200</v>
      </c>
      <c r="BD61" s="144">
        <v>58492</v>
      </c>
      <c r="BF61" s="144">
        <v>297000</v>
      </c>
      <c r="BG61" s="144"/>
      <c r="BH61" s="144"/>
      <c r="BI61" s="144">
        <v>50900</v>
      </c>
      <c r="BJ61" s="144">
        <v>53700</v>
      </c>
      <c r="BK61" s="144">
        <v>109800</v>
      </c>
      <c r="BL61" s="144"/>
      <c r="BM61" s="144"/>
      <c r="BN61" s="144"/>
      <c r="BO61" s="144"/>
      <c r="BP61" s="144"/>
      <c r="BQ61" s="144">
        <v>1300</v>
      </c>
      <c r="BR61" s="144">
        <v>10600</v>
      </c>
      <c r="BT61" s="144">
        <v>38400</v>
      </c>
      <c r="BU61" s="144">
        <v>38400</v>
      </c>
      <c r="BV61" s="144"/>
      <c r="BW61" s="144"/>
      <c r="BX61" s="144"/>
      <c r="BY61" s="144"/>
      <c r="BZ61" s="144"/>
      <c r="CB61" s="144"/>
    </row>
    <row r="62" spans="1:90" hidden="1">
      <c r="A62" s="83" t="s">
        <v>265</v>
      </c>
      <c r="B62" s="144">
        <f t="shared" si="68"/>
        <v>0</v>
      </c>
      <c r="C62" s="144">
        <f t="shared" ref="C62:N62" si="75">SUM(E62:P62)</f>
        <v>0</v>
      </c>
      <c r="D62" s="144">
        <f t="shared" si="75"/>
        <v>0</v>
      </c>
      <c r="E62" s="144">
        <f t="shared" si="75"/>
        <v>0</v>
      </c>
      <c r="F62" s="144">
        <f t="shared" si="75"/>
        <v>0</v>
      </c>
      <c r="G62" s="144">
        <f t="shared" si="75"/>
        <v>0</v>
      </c>
      <c r="H62" s="144">
        <f t="shared" si="75"/>
        <v>0</v>
      </c>
      <c r="I62" s="144">
        <f t="shared" si="75"/>
        <v>0</v>
      </c>
      <c r="J62" s="144">
        <f t="shared" si="75"/>
        <v>0</v>
      </c>
      <c r="K62" s="144">
        <f t="shared" si="75"/>
        <v>0</v>
      </c>
      <c r="L62" s="144">
        <f t="shared" si="75"/>
        <v>0</v>
      </c>
      <c r="M62" s="144">
        <f t="shared" si="75"/>
        <v>0</v>
      </c>
      <c r="N62" s="144">
        <f t="shared" si="75"/>
        <v>0</v>
      </c>
      <c r="O62" s="73"/>
      <c r="P62" s="144">
        <f t="shared" si="69"/>
        <v>0</v>
      </c>
      <c r="Q62" s="144">
        <f t="shared" si="72"/>
        <v>0</v>
      </c>
      <c r="R62" s="144">
        <f t="shared" si="72"/>
        <v>0</v>
      </c>
      <c r="S62" s="144">
        <f t="shared" si="72"/>
        <v>0</v>
      </c>
      <c r="T62" s="144">
        <f t="shared" si="72"/>
        <v>0</v>
      </c>
      <c r="U62" s="144">
        <f t="shared" si="72"/>
        <v>0</v>
      </c>
      <c r="V62" s="144">
        <f t="shared" si="72"/>
        <v>0</v>
      </c>
      <c r="W62" s="144">
        <f t="shared" si="72"/>
        <v>0</v>
      </c>
      <c r="X62" s="144">
        <f t="shared" si="72"/>
        <v>0</v>
      </c>
      <c r="Y62" s="144">
        <f t="shared" si="72"/>
        <v>0</v>
      </c>
      <c r="Z62" s="144">
        <f t="shared" si="72"/>
        <v>0</v>
      </c>
      <c r="AA62" s="144">
        <f t="shared" si="72"/>
        <v>0</v>
      </c>
      <c r="AB62" s="144">
        <f t="shared" si="72"/>
        <v>0</v>
      </c>
      <c r="AC62" s="73"/>
      <c r="AD62" s="144">
        <f t="shared" si="72"/>
        <v>0</v>
      </c>
      <c r="AE62" s="144">
        <v>0</v>
      </c>
      <c r="AF62" s="144">
        <v>0</v>
      </c>
      <c r="AG62" s="144">
        <v>0</v>
      </c>
      <c r="AH62" s="144">
        <v>0</v>
      </c>
      <c r="AI62" s="144">
        <v>0</v>
      </c>
      <c r="AJ62" s="144">
        <v>0</v>
      </c>
      <c r="AK62" s="144">
        <v>0</v>
      </c>
      <c r="AL62" s="144">
        <v>0</v>
      </c>
      <c r="AM62" s="144"/>
      <c r="AN62" s="144">
        <v>0</v>
      </c>
      <c r="AO62" s="144">
        <v>0</v>
      </c>
      <c r="AP62" s="144"/>
      <c r="AQ62" s="73"/>
      <c r="AR62" s="337">
        <f t="shared" si="73"/>
        <v>0</v>
      </c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F62" s="144">
        <v>0</v>
      </c>
      <c r="BG62" s="144"/>
      <c r="BH62" s="144"/>
      <c r="BI62" s="144">
        <v>20000</v>
      </c>
      <c r="BJ62" s="144">
        <v>54733</v>
      </c>
      <c r="BK62" s="144">
        <v>74154</v>
      </c>
      <c r="BL62" s="144"/>
      <c r="BM62" s="144"/>
      <c r="BN62" s="144"/>
      <c r="BO62" s="144"/>
      <c r="BP62" s="144"/>
      <c r="BQ62" s="144">
        <v>600</v>
      </c>
      <c r="BR62" s="144"/>
      <c r="BT62" s="144">
        <f t="shared" si="70"/>
        <v>0</v>
      </c>
      <c r="BU62" s="144">
        <f t="shared" si="70"/>
        <v>0</v>
      </c>
      <c r="BV62" s="144"/>
      <c r="BW62" s="144"/>
      <c r="BX62" s="144"/>
      <c r="BY62" s="144"/>
      <c r="BZ62" s="144"/>
      <c r="CB62" s="144"/>
    </row>
    <row r="63" spans="1:90">
      <c r="A63" s="83" t="s">
        <v>266</v>
      </c>
      <c r="B63" s="144">
        <f t="shared" si="68"/>
        <v>2130900</v>
      </c>
      <c r="C63" s="144">
        <v>0</v>
      </c>
      <c r="D63" s="144">
        <v>0</v>
      </c>
      <c r="E63" s="144">
        <v>0</v>
      </c>
      <c r="F63" s="144">
        <v>0</v>
      </c>
      <c r="G63" s="144">
        <v>0</v>
      </c>
      <c r="H63" s="144">
        <v>0</v>
      </c>
      <c r="I63" s="144">
        <v>0</v>
      </c>
      <c r="J63" s="144">
        <v>0</v>
      </c>
      <c r="K63" s="144">
        <v>0</v>
      </c>
      <c r="L63" s="144">
        <v>0</v>
      </c>
      <c r="M63" s="144">
        <v>0</v>
      </c>
      <c r="N63" s="144">
        <v>2130900</v>
      </c>
      <c r="O63" s="73"/>
      <c r="P63" s="144">
        <f t="shared" si="69"/>
        <v>20307775</v>
      </c>
      <c r="Q63" s="144">
        <v>1846000</v>
      </c>
      <c r="R63" s="144">
        <f>1886200+5175</f>
        <v>1891375</v>
      </c>
      <c r="S63" s="144">
        <f>1943200-57000</f>
        <v>1886200</v>
      </c>
      <c r="T63" s="144">
        <v>1886200</v>
      </c>
      <c r="U63" s="144">
        <v>1886200</v>
      </c>
      <c r="V63" s="144">
        <v>1886200</v>
      </c>
      <c r="W63" s="144">
        <v>1843500</v>
      </c>
      <c r="X63" s="144">
        <v>1794600</v>
      </c>
      <c r="Y63" s="144">
        <v>1886200</v>
      </c>
      <c r="Z63" s="144">
        <v>1685200</v>
      </c>
      <c r="AA63" s="144">
        <v>1474500</v>
      </c>
      <c r="AB63" s="144">
        <v>341600</v>
      </c>
      <c r="AC63" s="73"/>
      <c r="AD63" s="144">
        <f>SUM(AE63:AP63)</f>
        <v>5798000</v>
      </c>
      <c r="AE63" s="144">
        <f>328467-16467</f>
        <v>312000</v>
      </c>
      <c r="AF63" s="144">
        <f>330200-18200</f>
        <v>312000</v>
      </c>
      <c r="AG63" s="144">
        <f>353667-20867</f>
        <v>332800</v>
      </c>
      <c r="AH63" s="144">
        <f>506133-38133</f>
        <v>468000</v>
      </c>
      <c r="AI63" s="144">
        <f>494000-26000</f>
        <v>468000</v>
      </c>
      <c r="AJ63" s="144">
        <f>509600-41600</f>
        <v>468000</v>
      </c>
      <c r="AK63" s="144">
        <f>468000+5200</f>
        <v>473200</v>
      </c>
      <c r="AL63" s="144">
        <f>696734-72734</f>
        <v>624000</v>
      </c>
      <c r="AM63" s="144">
        <f>695000-71000</f>
        <v>624000</v>
      </c>
      <c r="AN63" s="144">
        <f>691533-67533</f>
        <v>624000</v>
      </c>
      <c r="AO63" s="144">
        <f>687200-31200-32000</f>
        <v>624000</v>
      </c>
      <c r="AP63" s="144">
        <f>520000-52000</f>
        <v>468000</v>
      </c>
      <c r="AQ63" s="73"/>
      <c r="AR63" s="337">
        <v>4518314</v>
      </c>
      <c r="AS63" s="144">
        <v>420827</v>
      </c>
      <c r="AT63" s="144">
        <v>420817</v>
      </c>
      <c r="AU63" s="144">
        <v>420827</v>
      </c>
      <c r="AV63" s="144">
        <v>377527</v>
      </c>
      <c r="AW63" s="144">
        <v>420827</v>
      </c>
      <c r="AX63" s="144">
        <v>235227</v>
      </c>
      <c r="AY63" s="144">
        <v>334227</v>
      </c>
      <c r="AZ63" s="144">
        <v>235227</v>
      </c>
      <c r="BA63" s="144">
        <v>235227</v>
      </c>
      <c r="BB63" s="144">
        <v>761527</v>
      </c>
      <c r="BC63" s="144">
        <v>235227</v>
      </c>
      <c r="BD63" s="144">
        <v>420827</v>
      </c>
      <c r="BF63" s="144">
        <v>3388200</v>
      </c>
      <c r="BG63" s="144"/>
      <c r="BH63" s="144"/>
      <c r="BI63" s="144">
        <v>740000</v>
      </c>
      <c r="BJ63" s="144">
        <v>848111</v>
      </c>
      <c r="BK63" s="144">
        <v>614154</v>
      </c>
      <c r="BL63" s="144"/>
      <c r="BM63" s="144"/>
      <c r="BN63" s="144"/>
      <c r="BO63" s="144"/>
      <c r="BP63" s="144"/>
      <c r="BQ63" s="144">
        <v>25700</v>
      </c>
      <c r="BR63" s="144">
        <v>240000</v>
      </c>
      <c r="BT63" s="144">
        <v>1163200</v>
      </c>
      <c r="BU63" s="144">
        <v>1163200</v>
      </c>
      <c r="BV63" s="144"/>
      <c r="BW63" s="144"/>
      <c r="BX63" s="144"/>
      <c r="BY63" s="144"/>
      <c r="BZ63" s="144"/>
      <c r="CB63" s="144"/>
    </row>
    <row r="64" spans="1:90" ht="12.75" thickBot="1">
      <c r="A64" s="83" t="s">
        <v>267</v>
      </c>
      <c r="B64" s="173">
        <f t="shared" si="68"/>
        <v>710900</v>
      </c>
      <c r="C64" s="173">
        <v>0</v>
      </c>
      <c r="D64" s="173">
        <v>0</v>
      </c>
      <c r="E64" s="173">
        <v>0</v>
      </c>
      <c r="F64" s="173">
        <v>0</v>
      </c>
      <c r="G64" s="173">
        <v>0</v>
      </c>
      <c r="H64" s="173">
        <v>0</v>
      </c>
      <c r="I64" s="173">
        <v>0</v>
      </c>
      <c r="J64" s="173">
        <v>0</v>
      </c>
      <c r="K64" s="173">
        <v>0</v>
      </c>
      <c r="L64" s="173">
        <v>0</v>
      </c>
      <c r="M64" s="173">
        <v>0</v>
      </c>
      <c r="N64" s="173">
        <v>710900</v>
      </c>
      <c r="O64" s="73"/>
      <c r="P64" s="173">
        <f t="shared" si="69"/>
        <v>6716300</v>
      </c>
      <c r="Q64" s="173">
        <v>616400</v>
      </c>
      <c r="R64" s="173">
        <v>629400</v>
      </c>
      <c r="S64" s="173">
        <v>629400</v>
      </c>
      <c r="T64" s="173">
        <v>586700</v>
      </c>
      <c r="U64" s="173">
        <v>613100</v>
      </c>
      <c r="V64" s="173">
        <v>629400</v>
      </c>
      <c r="W64" s="173">
        <v>615100</v>
      </c>
      <c r="X64" s="173">
        <v>598900</v>
      </c>
      <c r="Y64" s="173">
        <v>629400</v>
      </c>
      <c r="Z64" s="173">
        <v>562400</v>
      </c>
      <c r="AA64" s="173">
        <v>492100</v>
      </c>
      <c r="AB64" s="173">
        <v>114000</v>
      </c>
      <c r="AC64" s="73"/>
      <c r="AD64" s="173">
        <f t="shared" si="72"/>
        <v>1932800</v>
      </c>
      <c r="AE64" s="173">
        <v>104000</v>
      </c>
      <c r="AF64" s="173">
        <v>104000</v>
      </c>
      <c r="AG64" s="173">
        <v>111000</v>
      </c>
      <c r="AH64" s="173">
        <v>156000</v>
      </c>
      <c r="AI64" s="173">
        <v>156000</v>
      </c>
      <c r="AJ64" s="173">
        <v>156000</v>
      </c>
      <c r="AK64" s="173">
        <v>157800</v>
      </c>
      <c r="AL64" s="173">
        <v>208000</v>
      </c>
      <c r="AM64" s="173">
        <v>208000</v>
      </c>
      <c r="AN64" s="173">
        <v>208000</v>
      </c>
      <c r="AO64" s="173">
        <v>208000</v>
      </c>
      <c r="AP64" s="173">
        <v>156000</v>
      </c>
      <c r="AQ64" s="73"/>
      <c r="AR64" s="338">
        <v>1493000</v>
      </c>
      <c r="AS64" s="173">
        <v>135487</v>
      </c>
      <c r="AT64" s="173">
        <v>135483</v>
      </c>
      <c r="AU64" s="173">
        <v>135483</v>
      </c>
      <c r="AV64" s="173">
        <v>124683</v>
      </c>
      <c r="AW64" s="173">
        <v>135483</v>
      </c>
      <c r="AX64" s="173">
        <v>89083</v>
      </c>
      <c r="AY64" s="173">
        <v>113883</v>
      </c>
      <c r="AZ64" s="173">
        <v>89083</v>
      </c>
      <c r="BA64" s="173">
        <v>89083</v>
      </c>
      <c r="BB64" s="173">
        <v>220683</v>
      </c>
      <c r="BC64" s="173">
        <v>89083</v>
      </c>
      <c r="BD64" s="173">
        <v>135483</v>
      </c>
      <c r="BF64" s="173">
        <v>1129600</v>
      </c>
      <c r="BG64" s="173"/>
      <c r="BH64" s="173"/>
      <c r="BI64" s="173">
        <v>240000</v>
      </c>
      <c r="BJ64" s="173">
        <v>255100</v>
      </c>
      <c r="BK64" s="173">
        <v>180000</v>
      </c>
      <c r="BL64" s="173"/>
      <c r="BM64" s="173"/>
      <c r="BN64" s="173"/>
      <c r="BO64" s="173"/>
      <c r="BP64" s="173"/>
      <c r="BQ64" s="173">
        <v>8500</v>
      </c>
      <c r="BR64" s="173">
        <v>80000</v>
      </c>
      <c r="BT64" s="173">
        <v>291200</v>
      </c>
      <c r="BU64" s="173">
        <v>291200</v>
      </c>
      <c r="BV64" s="173"/>
      <c r="BW64" s="173"/>
      <c r="BX64" s="173"/>
      <c r="BY64" s="173"/>
      <c r="BZ64" s="173"/>
      <c r="CB64" s="173"/>
    </row>
    <row r="65" spans="1:80" ht="13.5" hidden="1" thickTop="1" thickBot="1">
      <c r="A65" s="73" t="s">
        <v>268</v>
      </c>
      <c r="B65" s="85">
        <f>SUM(AC65:AJ65)</f>
        <v>0</v>
      </c>
      <c r="C65" s="85">
        <f t="shared" ref="C65:N66" si="76">SUM(S65:Z65)</f>
        <v>0</v>
      </c>
      <c r="D65" s="85">
        <f t="shared" si="76"/>
        <v>0</v>
      </c>
      <c r="E65" s="85">
        <f t="shared" si="76"/>
        <v>0</v>
      </c>
      <c r="F65" s="85">
        <f t="shared" si="76"/>
        <v>0</v>
      </c>
      <c r="G65" s="85">
        <f t="shared" si="76"/>
        <v>0</v>
      </c>
      <c r="H65" s="85">
        <f t="shared" si="76"/>
        <v>0</v>
      </c>
      <c r="I65" s="85">
        <f t="shared" si="76"/>
        <v>0</v>
      </c>
      <c r="J65" s="85">
        <f t="shared" si="76"/>
        <v>0</v>
      </c>
      <c r="K65" s="85">
        <f t="shared" si="76"/>
        <v>0</v>
      </c>
      <c r="L65" s="85">
        <f t="shared" si="76"/>
        <v>0</v>
      </c>
      <c r="M65" s="85">
        <f t="shared" si="76"/>
        <v>0</v>
      </c>
      <c r="N65" s="85">
        <f t="shared" si="76"/>
        <v>0</v>
      </c>
      <c r="O65" s="73"/>
      <c r="P65" s="85">
        <f>SUM(AE65:AL65)</f>
        <v>0</v>
      </c>
      <c r="Q65" s="85">
        <f t="shared" ref="Q65:AB66" si="77">SUM(V65:AC65)</f>
        <v>0</v>
      </c>
      <c r="R65" s="85">
        <f t="shared" si="77"/>
        <v>0</v>
      </c>
      <c r="S65" s="85">
        <f t="shared" si="77"/>
        <v>0</v>
      </c>
      <c r="T65" s="85">
        <f t="shared" si="77"/>
        <v>0</v>
      </c>
      <c r="U65" s="85">
        <f t="shared" si="77"/>
        <v>0</v>
      </c>
      <c r="V65" s="85">
        <f t="shared" si="77"/>
        <v>0</v>
      </c>
      <c r="W65" s="85">
        <f t="shared" si="77"/>
        <v>0</v>
      </c>
      <c r="X65" s="85">
        <f t="shared" si="77"/>
        <v>0</v>
      </c>
      <c r="Y65" s="85">
        <f t="shared" si="77"/>
        <v>0</v>
      </c>
      <c r="Z65" s="85">
        <f t="shared" si="77"/>
        <v>0</v>
      </c>
      <c r="AA65" s="85">
        <f t="shared" si="77"/>
        <v>0</v>
      </c>
      <c r="AB65" s="85">
        <f t="shared" si="77"/>
        <v>0</v>
      </c>
      <c r="AC65" s="73"/>
      <c r="AD65" s="85">
        <f>SUM(AI65:AP65)</f>
        <v>0</v>
      </c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73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94"/>
      <c r="BF65" s="85">
        <f t="shared" ref="BF65:BF66" si="78">SUM(BM65:BR65)</f>
        <v>0</v>
      </c>
      <c r="BG65" s="85"/>
      <c r="BH65" s="85"/>
      <c r="BI65" s="84"/>
      <c r="BJ65" s="84"/>
      <c r="BK65" s="84"/>
      <c r="BL65" s="84"/>
      <c r="BM65" s="84"/>
      <c r="BN65" s="84"/>
      <c r="BO65" s="84"/>
      <c r="BP65" s="84"/>
      <c r="BQ65" s="84"/>
      <c r="BR65" s="72"/>
      <c r="BT65" s="72">
        <f t="shared" si="70"/>
        <v>0</v>
      </c>
      <c r="BU65" s="84"/>
      <c r="BV65" s="84"/>
      <c r="BW65" s="84"/>
      <c r="BX65" s="84"/>
      <c r="BY65" s="84"/>
      <c r="BZ65" s="84"/>
      <c r="CB65" s="72"/>
    </row>
    <row r="66" spans="1:80" ht="13.5" hidden="1" thickTop="1" thickBot="1">
      <c r="A66" s="73" t="s">
        <v>269</v>
      </c>
      <c r="B66" s="85">
        <f>SUM(AC66:AJ66)</f>
        <v>0</v>
      </c>
      <c r="C66" s="85">
        <f t="shared" si="76"/>
        <v>0</v>
      </c>
      <c r="D66" s="85">
        <f t="shared" si="76"/>
        <v>0</v>
      </c>
      <c r="E66" s="85">
        <f t="shared" si="76"/>
        <v>0</v>
      </c>
      <c r="F66" s="85">
        <f t="shared" si="76"/>
        <v>0</v>
      </c>
      <c r="G66" s="85">
        <f t="shared" si="76"/>
        <v>0</v>
      </c>
      <c r="H66" s="85">
        <f t="shared" si="76"/>
        <v>0</v>
      </c>
      <c r="I66" s="85">
        <f t="shared" si="76"/>
        <v>0</v>
      </c>
      <c r="J66" s="85">
        <f t="shared" si="76"/>
        <v>0</v>
      </c>
      <c r="K66" s="85">
        <f t="shared" si="76"/>
        <v>0</v>
      </c>
      <c r="L66" s="85">
        <f t="shared" si="76"/>
        <v>0</v>
      </c>
      <c r="M66" s="85">
        <f t="shared" si="76"/>
        <v>0</v>
      </c>
      <c r="N66" s="85">
        <f t="shared" si="76"/>
        <v>0</v>
      </c>
      <c r="O66" s="73"/>
      <c r="P66" s="85">
        <f>SUM(AE66:AL66)</f>
        <v>0</v>
      </c>
      <c r="Q66" s="85">
        <f t="shared" si="77"/>
        <v>0</v>
      </c>
      <c r="R66" s="85">
        <f t="shared" si="77"/>
        <v>0</v>
      </c>
      <c r="S66" s="85">
        <f t="shared" si="77"/>
        <v>0</v>
      </c>
      <c r="T66" s="85">
        <f t="shared" si="77"/>
        <v>0</v>
      </c>
      <c r="U66" s="85">
        <f t="shared" si="77"/>
        <v>0</v>
      </c>
      <c r="V66" s="85">
        <f t="shared" si="77"/>
        <v>0</v>
      </c>
      <c r="W66" s="85">
        <f t="shared" si="77"/>
        <v>0</v>
      </c>
      <c r="X66" s="85">
        <f t="shared" si="77"/>
        <v>0</v>
      </c>
      <c r="Y66" s="85">
        <f t="shared" si="77"/>
        <v>0</v>
      </c>
      <c r="Z66" s="85">
        <f t="shared" si="77"/>
        <v>0</v>
      </c>
      <c r="AA66" s="85">
        <f t="shared" si="77"/>
        <v>0</v>
      </c>
      <c r="AB66" s="85">
        <f t="shared" si="77"/>
        <v>0</v>
      </c>
      <c r="AC66" s="73"/>
      <c r="AD66" s="85">
        <f>SUM(AI66:AP66)</f>
        <v>0</v>
      </c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73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94"/>
      <c r="BF66" s="85">
        <f t="shared" si="78"/>
        <v>0</v>
      </c>
      <c r="BG66" s="85"/>
      <c r="BH66" s="85"/>
      <c r="BI66" s="84"/>
      <c r="BJ66" s="84"/>
      <c r="BK66" s="84"/>
      <c r="BL66" s="84"/>
      <c r="BM66" s="84"/>
      <c r="BN66" s="84"/>
      <c r="BO66" s="84"/>
      <c r="BP66" s="84"/>
      <c r="BQ66" s="72">
        <v>0</v>
      </c>
      <c r="BR66" s="72">
        <v>0</v>
      </c>
      <c r="BT66" s="72">
        <f t="shared" si="70"/>
        <v>0</v>
      </c>
      <c r="BU66" s="84"/>
      <c r="BV66" s="84"/>
      <c r="BW66" s="84"/>
      <c r="BX66" s="84"/>
      <c r="BY66" s="72">
        <v>0</v>
      </c>
      <c r="BZ66" s="72">
        <v>0</v>
      </c>
      <c r="CB66" s="72"/>
    </row>
    <row r="67" spans="1:80" ht="13.5" thickTop="1" thickBot="1">
      <c r="A67" s="81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1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1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1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</row>
    <row r="68" spans="1:80" ht="12.75" hidden="1" thickBot="1">
      <c r="A68" s="81" t="s">
        <v>271</v>
      </c>
      <c r="O68" s="81"/>
      <c r="AC68" s="81"/>
      <c r="AQ68" s="81"/>
      <c r="AR68" s="65"/>
    </row>
    <row r="69" spans="1:80" ht="13.5" hidden="1" thickTop="1" thickBot="1">
      <c r="A69" s="88" t="s">
        <v>272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91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91"/>
      <c r="AD69" s="76"/>
      <c r="AE69" s="76"/>
      <c r="AF69" s="76"/>
      <c r="AG69" s="76"/>
      <c r="AH69" s="76"/>
      <c r="AI69" s="76"/>
      <c r="AJ69" s="76"/>
      <c r="AK69" s="76">
        <f t="shared" ref="AK69:AP69" si="79">SUM(AV69:AX69)</f>
        <v>0</v>
      </c>
      <c r="AL69" s="76">
        <f t="shared" si="79"/>
        <v>0</v>
      </c>
      <c r="AM69" s="76">
        <f t="shared" si="79"/>
        <v>0</v>
      </c>
      <c r="AN69" s="76">
        <f t="shared" si="79"/>
        <v>0</v>
      </c>
      <c r="AO69" s="76">
        <f t="shared" si="79"/>
        <v>0</v>
      </c>
      <c r="AP69" s="76">
        <f t="shared" si="79"/>
        <v>0</v>
      </c>
      <c r="AQ69" s="91"/>
      <c r="AR69" s="76"/>
      <c r="AS69" s="76">
        <f t="shared" ref="AS69:BD69" si="80">SUM(BD69:BF69)</f>
        <v>0</v>
      </c>
      <c r="AT69" s="76">
        <f t="shared" si="80"/>
        <v>0</v>
      </c>
      <c r="AU69" s="76">
        <f t="shared" si="80"/>
        <v>0</v>
      </c>
      <c r="AV69" s="76">
        <f t="shared" si="80"/>
        <v>0</v>
      </c>
      <c r="AW69" s="76">
        <f t="shared" si="80"/>
        <v>0</v>
      </c>
      <c r="AX69" s="76">
        <f t="shared" si="80"/>
        <v>0</v>
      </c>
      <c r="AY69" s="76">
        <f t="shared" si="80"/>
        <v>0</v>
      </c>
      <c r="AZ69" s="76">
        <f t="shared" si="80"/>
        <v>0</v>
      </c>
      <c r="BA69" s="76">
        <f t="shared" si="80"/>
        <v>0</v>
      </c>
      <c r="BB69" s="76">
        <f t="shared" si="80"/>
        <v>0</v>
      </c>
      <c r="BC69" s="76">
        <f t="shared" si="80"/>
        <v>0</v>
      </c>
      <c r="BD69" s="76">
        <f t="shared" si="80"/>
        <v>0</v>
      </c>
      <c r="BF69" s="76">
        <f>SUM(BP69:BR69)</f>
        <v>0</v>
      </c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>
        <v>0</v>
      </c>
      <c r="BR69" s="100">
        <v>0</v>
      </c>
      <c r="BT69" s="76">
        <f>SUM(BX69:BZ69)</f>
        <v>0</v>
      </c>
      <c r="BU69" s="76"/>
      <c r="BV69" s="76"/>
      <c r="BW69" s="76"/>
      <c r="BX69" s="76"/>
      <c r="BY69" s="76">
        <v>0</v>
      </c>
      <c r="BZ69" s="76">
        <v>0</v>
      </c>
      <c r="CA69" s="94"/>
      <c r="CB69" s="76"/>
    </row>
    <row r="70" spans="1:80" ht="15" hidden="1" customHeight="1">
      <c r="A70" s="88" t="s">
        <v>273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91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91"/>
      <c r="AD70" s="76"/>
      <c r="AE70" s="76"/>
      <c r="AF70" s="76"/>
      <c r="AG70" s="76"/>
      <c r="AH70" s="76"/>
      <c r="AI70" s="76"/>
      <c r="AJ70" s="76"/>
      <c r="AK70" s="76">
        <f t="shared" ref="AK70:AP72" si="81">SUM(AS70:AX70)</f>
        <v>0</v>
      </c>
      <c r="AL70" s="76">
        <f t="shared" si="81"/>
        <v>0</v>
      </c>
      <c r="AM70" s="76">
        <f t="shared" si="81"/>
        <v>0</v>
      </c>
      <c r="AN70" s="76">
        <f t="shared" si="81"/>
        <v>0</v>
      </c>
      <c r="AO70" s="76">
        <f t="shared" si="81"/>
        <v>0</v>
      </c>
      <c r="AP70" s="76">
        <f t="shared" si="81"/>
        <v>0</v>
      </c>
      <c r="AQ70" s="91"/>
      <c r="AR70" s="76"/>
      <c r="AS70" s="76">
        <f t="shared" ref="AS70:BD72" si="82">SUM(BA70:BF70)</f>
        <v>0</v>
      </c>
      <c r="AT70" s="76">
        <f t="shared" si="82"/>
        <v>0</v>
      </c>
      <c r="AU70" s="76">
        <f t="shared" si="82"/>
        <v>0</v>
      </c>
      <c r="AV70" s="76">
        <f t="shared" si="82"/>
        <v>0</v>
      </c>
      <c r="AW70" s="76">
        <f t="shared" si="82"/>
        <v>0</v>
      </c>
      <c r="AX70" s="76">
        <f t="shared" si="82"/>
        <v>0</v>
      </c>
      <c r="AY70" s="76">
        <f t="shared" si="82"/>
        <v>0</v>
      </c>
      <c r="AZ70" s="76">
        <f t="shared" si="82"/>
        <v>0</v>
      </c>
      <c r="BA70" s="76">
        <f t="shared" si="82"/>
        <v>0</v>
      </c>
      <c r="BB70" s="76">
        <f t="shared" si="82"/>
        <v>0</v>
      </c>
      <c r="BC70" s="76">
        <f t="shared" si="82"/>
        <v>0</v>
      </c>
      <c r="BD70" s="76">
        <f t="shared" si="82"/>
        <v>0</v>
      </c>
      <c r="BF70" s="76">
        <f>SUM(BM70:BR70)</f>
        <v>0</v>
      </c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100"/>
      <c r="BT70" s="76">
        <f>SUM(BU70:BZ70)</f>
        <v>0</v>
      </c>
      <c r="BU70" s="76"/>
      <c r="BV70" s="76"/>
      <c r="BW70" s="76"/>
      <c r="BX70" s="76"/>
      <c r="BY70" s="76"/>
      <c r="BZ70" s="76"/>
      <c r="CA70" s="94"/>
      <c r="CB70" s="106"/>
    </row>
    <row r="71" spans="1:80" ht="13.5" hidden="1" thickTop="1" thickBot="1">
      <c r="A71" s="64" t="s">
        <v>274</v>
      </c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D71" s="76"/>
      <c r="AE71" s="76"/>
      <c r="AF71" s="76"/>
      <c r="AG71" s="76"/>
      <c r="AH71" s="76"/>
      <c r="AI71" s="76"/>
      <c r="AJ71" s="76"/>
      <c r="AK71" s="76">
        <f t="shared" si="81"/>
        <v>0</v>
      </c>
      <c r="AL71" s="76">
        <f t="shared" si="81"/>
        <v>0</v>
      </c>
      <c r="AM71" s="76">
        <f t="shared" si="81"/>
        <v>0</v>
      </c>
      <c r="AN71" s="76">
        <f t="shared" si="81"/>
        <v>0</v>
      </c>
      <c r="AO71" s="76">
        <f t="shared" si="81"/>
        <v>0</v>
      </c>
      <c r="AP71" s="76">
        <f t="shared" si="81"/>
        <v>0</v>
      </c>
      <c r="AR71" s="76"/>
      <c r="AS71" s="76">
        <f t="shared" si="82"/>
        <v>0</v>
      </c>
      <c r="AT71" s="76">
        <f t="shared" si="82"/>
        <v>0</v>
      </c>
      <c r="AU71" s="76">
        <f t="shared" si="82"/>
        <v>0</v>
      </c>
      <c r="AV71" s="76">
        <f t="shared" si="82"/>
        <v>0</v>
      </c>
      <c r="AW71" s="76">
        <f t="shared" si="82"/>
        <v>0</v>
      </c>
      <c r="AX71" s="76">
        <f t="shared" si="82"/>
        <v>0</v>
      </c>
      <c r="AY71" s="76">
        <f t="shared" si="82"/>
        <v>0</v>
      </c>
      <c r="AZ71" s="76">
        <f t="shared" si="82"/>
        <v>0</v>
      </c>
      <c r="BA71" s="76">
        <f t="shared" si="82"/>
        <v>0</v>
      </c>
      <c r="BB71" s="76">
        <f t="shared" si="82"/>
        <v>0</v>
      </c>
      <c r="BC71" s="76">
        <f t="shared" si="82"/>
        <v>0</v>
      </c>
      <c r="BD71" s="76">
        <f t="shared" si="82"/>
        <v>0</v>
      </c>
      <c r="BF71" s="76">
        <f>SUM(BM71:BR71)</f>
        <v>0</v>
      </c>
      <c r="BG71" s="76"/>
      <c r="BH71" s="76"/>
      <c r="BI71" s="72"/>
      <c r="BJ71" s="72"/>
      <c r="BK71" s="72"/>
      <c r="BL71" s="72"/>
      <c r="BM71" s="72"/>
      <c r="BN71" s="72"/>
      <c r="BO71" s="72"/>
      <c r="BP71" s="72"/>
      <c r="BQ71" s="72"/>
      <c r="BR71" s="102"/>
      <c r="BT71" s="76">
        <f>SUM(BU71:BZ71)</f>
        <v>0</v>
      </c>
      <c r="BU71" s="72"/>
      <c r="BV71" s="72"/>
      <c r="BW71" s="72"/>
      <c r="BX71" s="72"/>
      <c r="BY71" s="72"/>
      <c r="BZ71" s="72"/>
      <c r="CB71" s="72"/>
    </row>
    <row r="72" spans="1:80" ht="13.5" hidden="1" thickTop="1" thickBot="1">
      <c r="A72" s="81" t="s">
        <v>275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81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81"/>
      <c r="AD72" s="78"/>
      <c r="AE72" s="78"/>
      <c r="AF72" s="78"/>
      <c r="AG72" s="78"/>
      <c r="AH72" s="78"/>
      <c r="AI72" s="78"/>
      <c r="AJ72" s="78"/>
      <c r="AK72" s="78">
        <f t="shared" si="81"/>
        <v>0</v>
      </c>
      <c r="AL72" s="78">
        <f t="shared" si="81"/>
        <v>0</v>
      </c>
      <c r="AM72" s="78">
        <f t="shared" si="81"/>
        <v>0</v>
      </c>
      <c r="AN72" s="78">
        <f t="shared" si="81"/>
        <v>0</v>
      </c>
      <c r="AO72" s="78">
        <f t="shared" si="81"/>
        <v>0</v>
      </c>
      <c r="AP72" s="78">
        <f t="shared" si="81"/>
        <v>0</v>
      </c>
      <c r="AQ72" s="81"/>
      <c r="AR72" s="78"/>
      <c r="AS72" s="78">
        <f t="shared" si="82"/>
        <v>0</v>
      </c>
      <c r="AT72" s="78">
        <f t="shared" si="82"/>
        <v>0</v>
      </c>
      <c r="AU72" s="78">
        <f t="shared" si="82"/>
        <v>0</v>
      </c>
      <c r="AV72" s="78">
        <f t="shared" si="82"/>
        <v>0</v>
      </c>
      <c r="AW72" s="78">
        <f t="shared" si="82"/>
        <v>0</v>
      </c>
      <c r="AX72" s="78">
        <f t="shared" si="82"/>
        <v>0</v>
      </c>
      <c r="AY72" s="78">
        <f t="shared" si="82"/>
        <v>0</v>
      </c>
      <c r="AZ72" s="78">
        <f t="shared" si="82"/>
        <v>0</v>
      </c>
      <c r="BA72" s="78">
        <f t="shared" si="82"/>
        <v>0</v>
      </c>
      <c r="BB72" s="78">
        <f t="shared" si="82"/>
        <v>0</v>
      </c>
      <c r="BC72" s="78">
        <f t="shared" si="82"/>
        <v>0</v>
      </c>
      <c r="BD72" s="78">
        <f t="shared" si="82"/>
        <v>0</v>
      </c>
      <c r="BE72" s="87"/>
      <c r="BF72" s="78">
        <f>SUM(BM72:BR72)</f>
        <v>0</v>
      </c>
      <c r="BG72" s="78"/>
      <c r="BH72" s="78"/>
      <c r="BI72" s="75">
        <f t="shared" ref="BI72:BJ72" si="83">SUM(BI69:BI71)</f>
        <v>0</v>
      </c>
      <c r="BJ72" s="75">
        <f t="shared" si="83"/>
        <v>0</v>
      </c>
      <c r="BK72" s="75">
        <f t="shared" ref="BK72:BL72" si="84">SUM(BK69:BK71)</f>
        <v>0</v>
      </c>
      <c r="BL72" s="75">
        <f t="shared" si="84"/>
        <v>0</v>
      </c>
      <c r="BM72" s="75">
        <f t="shared" ref="BM72:BR72" si="85">SUM(BM69:BM71)</f>
        <v>0</v>
      </c>
      <c r="BN72" s="75">
        <f t="shared" si="85"/>
        <v>0</v>
      </c>
      <c r="BO72" s="75">
        <f t="shared" si="85"/>
        <v>0</v>
      </c>
      <c r="BP72" s="75">
        <f t="shared" si="85"/>
        <v>0</v>
      </c>
      <c r="BQ72" s="75">
        <f t="shared" si="85"/>
        <v>0</v>
      </c>
      <c r="BR72" s="101">
        <f t="shared" si="85"/>
        <v>0</v>
      </c>
      <c r="BS72" s="87"/>
      <c r="BT72" s="78">
        <f>SUM(BU72:BZ72)</f>
        <v>0</v>
      </c>
      <c r="BU72" s="75">
        <f t="shared" ref="BU72" si="86">SUM(BU69:BU71)</f>
        <v>0</v>
      </c>
      <c r="BV72" s="75">
        <f t="shared" ref="BV72:BW72" si="87">SUM(BV69:BV71)</f>
        <v>0</v>
      </c>
      <c r="BW72" s="75">
        <f t="shared" si="87"/>
        <v>0</v>
      </c>
      <c r="BX72" s="75">
        <f t="shared" ref="BX72:BZ72" si="88">SUM(BX69:BX71)</f>
        <v>0</v>
      </c>
      <c r="BY72" s="75">
        <f t="shared" si="88"/>
        <v>0</v>
      </c>
      <c r="BZ72" s="75">
        <f t="shared" si="88"/>
        <v>0</v>
      </c>
      <c r="CA72" s="87"/>
      <c r="CB72" s="75">
        <f t="shared" ref="CB72" si="89">SUM(CB69:CB71)</f>
        <v>0</v>
      </c>
    </row>
    <row r="73" spans="1:80" ht="12.75" hidden="1" thickBot="1">
      <c r="A73" s="81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1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1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1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</row>
    <row r="74" spans="1:80" ht="13.5" thickTop="1" thickBot="1">
      <c r="A74" s="81" t="s">
        <v>276</v>
      </c>
      <c r="B74" s="75">
        <f t="shared" ref="B74:AB74" si="90">+B75</f>
        <v>0</v>
      </c>
      <c r="C74" s="75">
        <f t="shared" si="90"/>
        <v>0</v>
      </c>
      <c r="D74" s="75">
        <f t="shared" si="90"/>
        <v>0</v>
      </c>
      <c r="E74" s="75">
        <f t="shared" si="90"/>
        <v>0</v>
      </c>
      <c r="F74" s="75">
        <f t="shared" si="90"/>
        <v>0</v>
      </c>
      <c r="G74" s="75">
        <f t="shared" si="90"/>
        <v>0</v>
      </c>
      <c r="H74" s="75">
        <f t="shared" si="90"/>
        <v>0</v>
      </c>
      <c r="I74" s="75">
        <f t="shared" si="90"/>
        <v>0</v>
      </c>
      <c r="J74" s="75">
        <f t="shared" si="90"/>
        <v>0</v>
      </c>
      <c r="K74" s="75">
        <f t="shared" si="90"/>
        <v>0</v>
      </c>
      <c r="L74" s="75">
        <f t="shared" si="90"/>
        <v>0</v>
      </c>
      <c r="M74" s="75">
        <f t="shared" si="90"/>
        <v>0</v>
      </c>
      <c r="N74" s="75">
        <f t="shared" si="90"/>
        <v>0</v>
      </c>
      <c r="O74" s="90"/>
      <c r="P74" s="75">
        <f t="shared" si="90"/>
        <v>478000</v>
      </c>
      <c r="Q74" s="75">
        <f t="shared" si="90"/>
        <v>0</v>
      </c>
      <c r="R74" s="75">
        <f t="shared" si="90"/>
        <v>0</v>
      </c>
      <c r="S74" s="75">
        <f t="shared" si="90"/>
        <v>0</v>
      </c>
      <c r="T74" s="75">
        <f t="shared" si="90"/>
        <v>0</v>
      </c>
      <c r="U74" s="75">
        <f t="shared" si="90"/>
        <v>0</v>
      </c>
      <c r="V74" s="75">
        <f t="shared" si="90"/>
        <v>0</v>
      </c>
      <c r="W74" s="75">
        <f t="shared" si="90"/>
        <v>0</v>
      </c>
      <c r="X74" s="75">
        <f t="shared" si="90"/>
        <v>0</v>
      </c>
      <c r="Y74" s="75">
        <f t="shared" si="90"/>
        <v>478000</v>
      </c>
      <c r="Z74" s="75">
        <f t="shared" si="90"/>
        <v>0</v>
      </c>
      <c r="AA74" s="75">
        <f t="shared" si="90"/>
        <v>0</v>
      </c>
      <c r="AB74" s="75">
        <f t="shared" si="90"/>
        <v>0</v>
      </c>
      <c r="AC74" s="90"/>
      <c r="AD74" s="75">
        <f>+AD75</f>
        <v>514000</v>
      </c>
      <c r="AE74" s="75">
        <f t="shared" ref="AE74:AP74" si="91">+AE75</f>
        <v>0</v>
      </c>
      <c r="AF74" s="75">
        <f t="shared" si="91"/>
        <v>0</v>
      </c>
      <c r="AG74" s="75">
        <f t="shared" si="91"/>
        <v>0</v>
      </c>
      <c r="AH74" s="75">
        <f t="shared" si="91"/>
        <v>0</v>
      </c>
      <c r="AI74" s="75">
        <f t="shared" si="91"/>
        <v>0</v>
      </c>
      <c r="AJ74" s="75">
        <f t="shared" si="91"/>
        <v>0</v>
      </c>
      <c r="AK74" s="75">
        <f t="shared" si="91"/>
        <v>0</v>
      </c>
      <c r="AL74" s="75">
        <f t="shared" si="91"/>
        <v>0</v>
      </c>
      <c r="AM74" s="75">
        <f t="shared" si="91"/>
        <v>514000</v>
      </c>
      <c r="AN74" s="75">
        <f t="shared" si="91"/>
        <v>0</v>
      </c>
      <c r="AO74" s="75">
        <f t="shared" si="91"/>
        <v>0</v>
      </c>
      <c r="AP74" s="75">
        <f t="shared" si="91"/>
        <v>0</v>
      </c>
      <c r="AQ74" s="90"/>
      <c r="AR74" s="75">
        <f t="shared" ref="AR74" si="92">+AR75</f>
        <v>104000</v>
      </c>
      <c r="AS74" s="75">
        <f t="shared" ref="AS74" si="93">+AS75</f>
        <v>0</v>
      </c>
      <c r="AT74" s="75">
        <f t="shared" ref="AT74" si="94">+AT75</f>
        <v>0</v>
      </c>
      <c r="AU74" s="75">
        <f t="shared" ref="AU74" si="95">+AU75</f>
        <v>0</v>
      </c>
      <c r="AV74" s="75">
        <f t="shared" ref="AV74" si="96">+AV75</f>
        <v>0</v>
      </c>
      <c r="AW74" s="75">
        <f t="shared" ref="AW74" si="97">+AW75</f>
        <v>0</v>
      </c>
      <c r="AX74" s="75">
        <f t="shared" ref="AX74" si="98">+AX75</f>
        <v>0</v>
      </c>
      <c r="AY74" s="75">
        <f t="shared" ref="AY74" si="99">+AY75</f>
        <v>0</v>
      </c>
      <c r="AZ74" s="75">
        <f t="shared" ref="AZ74" si="100">+AZ75</f>
        <v>0</v>
      </c>
      <c r="BA74" s="75">
        <f t="shared" ref="BA74" si="101">+BA75</f>
        <v>0</v>
      </c>
      <c r="BB74" s="75">
        <f t="shared" ref="BB74" si="102">+BB75</f>
        <v>104000</v>
      </c>
      <c r="BC74" s="75">
        <f t="shared" ref="BC74" si="103">+BC75</f>
        <v>0</v>
      </c>
      <c r="BD74" s="75">
        <f t="shared" ref="BD74" si="104">+BD75</f>
        <v>0</v>
      </c>
      <c r="BE74" s="98"/>
      <c r="BF74" s="75">
        <f t="shared" ref="BF74" si="105">+BF75</f>
        <v>0</v>
      </c>
      <c r="BG74" s="75">
        <f t="shared" ref="BG74" si="106">+BG75</f>
        <v>0</v>
      </c>
      <c r="BH74" s="75">
        <f t="shared" ref="BH74" si="107">+BH75</f>
        <v>0</v>
      </c>
      <c r="BI74" s="75">
        <f t="shared" ref="BI74" si="108">+BI75</f>
        <v>0</v>
      </c>
      <c r="BJ74" s="75">
        <f t="shared" ref="BJ74" si="109">+BJ75</f>
        <v>0</v>
      </c>
      <c r="BK74" s="75">
        <f t="shared" ref="BK74" si="110">+BK75</f>
        <v>0</v>
      </c>
      <c r="BL74" s="75">
        <f t="shared" ref="BL74" si="111">+BL75</f>
        <v>0</v>
      </c>
      <c r="BM74" s="75">
        <f t="shared" ref="BM74" si="112">+BM75</f>
        <v>0</v>
      </c>
      <c r="BN74" s="75">
        <f t="shared" ref="BN74" si="113">+BN75</f>
        <v>0</v>
      </c>
      <c r="BO74" s="75">
        <f t="shared" ref="BO74" si="114">+BO75</f>
        <v>0</v>
      </c>
      <c r="BP74" s="75">
        <f t="shared" ref="BP74" si="115">+BP75</f>
        <v>0</v>
      </c>
      <c r="BQ74" s="75">
        <f t="shared" ref="BQ74" si="116">+BQ75</f>
        <v>0</v>
      </c>
      <c r="BR74" s="75">
        <f t="shared" ref="BR74" si="117">+BR75</f>
        <v>0</v>
      </c>
      <c r="BS74" s="87"/>
      <c r="BT74" s="75">
        <f t="shared" ref="BT74" si="118">+BT75</f>
        <v>0</v>
      </c>
      <c r="BU74" s="75">
        <f t="shared" ref="BU74" si="119">+BU75</f>
        <v>0</v>
      </c>
      <c r="BV74" s="75">
        <f t="shared" ref="BV74" si="120">+BV75</f>
        <v>0</v>
      </c>
      <c r="BW74" s="75">
        <f t="shared" ref="BW74" si="121">+BW75</f>
        <v>0</v>
      </c>
      <c r="BX74" s="75">
        <f t="shared" ref="BX74" si="122">+BX75</f>
        <v>0</v>
      </c>
      <c r="BY74" s="75">
        <f t="shared" ref="BY74" si="123">+BY75</f>
        <v>0</v>
      </c>
      <c r="BZ74" s="75">
        <f t="shared" ref="BZ74" si="124">+BZ75</f>
        <v>0</v>
      </c>
      <c r="CA74" s="95"/>
      <c r="CB74" s="75">
        <f t="shared" ref="CB74" si="125">+CB75</f>
        <v>0</v>
      </c>
    </row>
    <row r="75" spans="1:80" ht="13.5" thickTop="1" thickBot="1">
      <c r="A75" s="64" t="s">
        <v>277</v>
      </c>
      <c r="B75" s="72">
        <f>SUM(C75:N75)</f>
        <v>0</v>
      </c>
      <c r="C75" s="72">
        <v>0</v>
      </c>
      <c r="D75" s="72">
        <v>0</v>
      </c>
      <c r="E75" s="72">
        <v>0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0</v>
      </c>
      <c r="L75" s="72">
        <v>0</v>
      </c>
      <c r="M75" s="72">
        <v>0</v>
      </c>
      <c r="N75" s="72">
        <v>0</v>
      </c>
      <c r="P75" s="72">
        <f>SUM(Q75:AB75)</f>
        <v>478000</v>
      </c>
      <c r="Q75" s="72">
        <v>0</v>
      </c>
      <c r="R75" s="72">
        <v>0</v>
      </c>
      <c r="S75" s="72">
        <v>0</v>
      </c>
      <c r="T75" s="72">
        <v>0</v>
      </c>
      <c r="U75" s="72">
        <v>0</v>
      </c>
      <c r="V75" s="72">
        <v>0</v>
      </c>
      <c r="W75" s="72">
        <v>0</v>
      </c>
      <c r="X75" s="72">
        <v>0</v>
      </c>
      <c r="Y75" s="72">
        <v>478000</v>
      </c>
      <c r="Z75" s="72">
        <v>0</v>
      </c>
      <c r="AA75" s="72">
        <v>0</v>
      </c>
      <c r="AB75" s="72">
        <v>0</v>
      </c>
      <c r="AD75" s="72">
        <f>SUM(AE75:AP75)</f>
        <v>514000</v>
      </c>
      <c r="AE75" s="72">
        <v>0</v>
      </c>
      <c r="AF75" s="72">
        <v>0</v>
      </c>
      <c r="AG75" s="72">
        <v>0</v>
      </c>
      <c r="AH75" s="72">
        <v>0</v>
      </c>
      <c r="AI75" s="72">
        <v>0</v>
      </c>
      <c r="AJ75" s="72">
        <v>0</v>
      </c>
      <c r="AK75" s="72">
        <v>0</v>
      </c>
      <c r="AL75" s="72">
        <v>0</v>
      </c>
      <c r="AM75" s="72">
        <v>514000</v>
      </c>
      <c r="AN75" s="72">
        <v>0</v>
      </c>
      <c r="AO75" s="72">
        <v>0</v>
      </c>
      <c r="AP75" s="72">
        <v>0</v>
      </c>
      <c r="AR75" s="72">
        <f>SUM(AS75:BD75)</f>
        <v>104000</v>
      </c>
      <c r="AS75" s="72">
        <v>0</v>
      </c>
      <c r="AT75" s="72">
        <v>0</v>
      </c>
      <c r="AU75" s="72">
        <v>0</v>
      </c>
      <c r="AV75" s="72">
        <v>0</v>
      </c>
      <c r="AW75" s="72">
        <v>0</v>
      </c>
      <c r="AX75" s="72">
        <v>0</v>
      </c>
      <c r="AY75" s="72">
        <v>0</v>
      </c>
      <c r="AZ75" s="72">
        <v>0</v>
      </c>
      <c r="BA75" s="72">
        <v>0</v>
      </c>
      <c r="BB75" s="72">
        <v>104000</v>
      </c>
      <c r="BC75" s="72">
        <v>0</v>
      </c>
      <c r="BD75" s="72">
        <v>0</v>
      </c>
      <c r="BF75" s="72">
        <v>0</v>
      </c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T75" s="72">
        <f>SUM(BU75:BZ76)</f>
        <v>0</v>
      </c>
      <c r="BU75" s="72"/>
      <c r="BV75" s="72"/>
      <c r="BW75" s="72"/>
      <c r="BX75" s="72"/>
      <c r="BY75" s="72"/>
      <c r="BZ75" s="72"/>
      <c r="CB75" s="72"/>
    </row>
    <row r="76" spans="1:80" ht="13.5" hidden="1" thickTop="1" thickBot="1">
      <c r="A76" s="64" t="s">
        <v>278</v>
      </c>
      <c r="B76" s="76">
        <f>SUM(AC76:AJ76)</f>
        <v>0</v>
      </c>
      <c r="C76" s="76">
        <f t="shared" ref="C76:N76" si="126">SUM(S76:Z76)</f>
        <v>0</v>
      </c>
      <c r="D76" s="76">
        <f t="shared" si="126"/>
        <v>0</v>
      </c>
      <c r="E76" s="76">
        <f t="shared" si="126"/>
        <v>0</v>
      </c>
      <c r="F76" s="76">
        <f t="shared" si="126"/>
        <v>0</v>
      </c>
      <c r="G76" s="76">
        <f t="shared" si="126"/>
        <v>0</v>
      </c>
      <c r="H76" s="76">
        <f t="shared" si="126"/>
        <v>0</v>
      </c>
      <c r="I76" s="76">
        <f t="shared" si="126"/>
        <v>0</v>
      </c>
      <c r="J76" s="76">
        <f t="shared" si="126"/>
        <v>0</v>
      </c>
      <c r="K76" s="76">
        <f t="shared" si="126"/>
        <v>0</v>
      </c>
      <c r="L76" s="76">
        <f t="shared" si="126"/>
        <v>0</v>
      </c>
      <c r="M76" s="76">
        <f t="shared" si="126"/>
        <v>0</v>
      </c>
      <c r="N76" s="76">
        <f t="shared" si="126"/>
        <v>0</v>
      </c>
      <c r="O76" s="113"/>
      <c r="P76" s="76">
        <f>SUM(AE76:AL76)</f>
        <v>0</v>
      </c>
      <c r="Q76" s="76">
        <f t="shared" ref="Q76:AB76" si="127">SUM(V76:AC76)</f>
        <v>0</v>
      </c>
      <c r="R76" s="76">
        <f t="shared" si="127"/>
        <v>0</v>
      </c>
      <c r="S76" s="76">
        <f t="shared" si="127"/>
        <v>0</v>
      </c>
      <c r="T76" s="76">
        <f t="shared" si="127"/>
        <v>0</v>
      </c>
      <c r="U76" s="76">
        <f t="shared" si="127"/>
        <v>0</v>
      </c>
      <c r="V76" s="76">
        <f t="shared" si="127"/>
        <v>0</v>
      </c>
      <c r="W76" s="76">
        <f t="shared" si="127"/>
        <v>0</v>
      </c>
      <c r="X76" s="76">
        <f t="shared" si="127"/>
        <v>0</v>
      </c>
      <c r="Y76" s="76">
        <f t="shared" si="127"/>
        <v>0</v>
      </c>
      <c r="Z76" s="76">
        <f t="shared" si="127"/>
        <v>0</v>
      </c>
      <c r="AA76" s="76">
        <f t="shared" si="127"/>
        <v>0</v>
      </c>
      <c r="AB76" s="76">
        <f t="shared" si="127"/>
        <v>0</v>
      </c>
      <c r="AC76" s="113"/>
      <c r="AD76" s="76">
        <f>SUM(AI76:AP76)</f>
        <v>0</v>
      </c>
      <c r="AE76" s="76"/>
      <c r="AF76" s="76"/>
      <c r="AG76" s="76"/>
      <c r="AH76" s="76"/>
      <c r="AI76" s="76"/>
      <c r="AJ76" s="76"/>
      <c r="AK76" s="76">
        <f t="shared" ref="AK76:AP76" si="128">SUM(AV76:AX76)</f>
        <v>0</v>
      </c>
      <c r="AL76" s="76">
        <f t="shared" si="128"/>
        <v>0</v>
      </c>
      <c r="AM76" s="76">
        <f t="shared" si="128"/>
        <v>0</v>
      </c>
      <c r="AN76" s="76">
        <f t="shared" si="128"/>
        <v>0</v>
      </c>
      <c r="AO76" s="76">
        <f t="shared" si="128"/>
        <v>0</v>
      </c>
      <c r="AP76" s="76">
        <f t="shared" si="128"/>
        <v>0</v>
      </c>
      <c r="AQ76" s="113"/>
      <c r="AR76" s="76"/>
      <c r="AS76" s="76">
        <f t="shared" ref="AS76:BD76" si="129">SUM(BD76:BF76)</f>
        <v>0</v>
      </c>
      <c r="AT76" s="76">
        <f t="shared" si="129"/>
        <v>0</v>
      </c>
      <c r="AU76" s="76">
        <f t="shared" si="129"/>
        <v>0</v>
      </c>
      <c r="AV76" s="76">
        <f t="shared" si="129"/>
        <v>0</v>
      </c>
      <c r="AW76" s="76">
        <f t="shared" si="129"/>
        <v>0</v>
      </c>
      <c r="AX76" s="76">
        <f t="shared" si="129"/>
        <v>0</v>
      </c>
      <c r="AY76" s="76">
        <f t="shared" si="129"/>
        <v>0</v>
      </c>
      <c r="AZ76" s="76">
        <f t="shared" si="129"/>
        <v>0</v>
      </c>
      <c r="BA76" s="76">
        <f t="shared" si="129"/>
        <v>0</v>
      </c>
      <c r="BB76" s="76">
        <f t="shared" si="129"/>
        <v>0</v>
      </c>
      <c r="BC76" s="76">
        <f t="shared" si="129"/>
        <v>0</v>
      </c>
      <c r="BD76" s="76">
        <f t="shared" si="129"/>
        <v>0</v>
      </c>
      <c r="BE76" s="86"/>
      <c r="BF76" s="76">
        <f>SUM(BP76:BR76)</f>
        <v>0</v>
      </c>
      <c r="BG76" s="85"/>
      <c r="BH76" s="85"/>
      <c r="BI76" s="84"/>
      <c r="BJ76" s="84"/>
      <c r="BK76" s="84"/>
      <c r="BL76" s="84"/>
      <c r="BM76" s="84"/>
      <c r="BN76" s="84"/>
      <c r="BO76" s="84"/>
      <c r="BP76" s="84"/>
      <c r="BQ76" s="72">
        <v>0</v>
      </c>
      <c r="BR76" s="102">
        <v>0</v>
      </c>
      <c r="BT76" s="76">
        <f>SUM(BX76:BZ76)</f>
        <v>0</v>
      </c>
      <c r="BU76" s="84"/>
      <c r="BV76" s="84"/>
      <c r="BW76" s="84"/>
      <c r="BX76" s="84"/>
      <c r="BY76" s="72">
        <v>0</v>
      </c>
      <c r="BZ76" s="72">
        <v>0</v>
      </c>
      <c r="CB76" s="72"/>
    </row>
    <row r="77" spans="1:80" ht="13.5" thickTop="1" thickBot="1">
      <c r="A77" s="88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88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88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88"/>
      <c r="AR77" s="107"/>
      <c r="AS77" s="107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7"/>
      <c r="BE77" s="87"/>
      <c r="BF77" s="107"/>
      <c r="BG77" s="107"/>
      <c r="BH77" s="107"/>
      <c r="BI77" s="107"/>
      <c r="BJ77" s="107"/>
      <c r="BK77" s="107"/>
      <c r="BL77" s="107"/>
      <c r="BM77" s="107"/>
      <c r="BN77" s="107"/>
      <c r="BO77" s="107"/>
      <c r="BP77" s="107"/>
      <c r="BQ77" s="107"/>
      <c r="BR77" s="107"/>
      <c r="BS77" s="87"/>
      <c r="BT77" s="107"/>
      <c r="BU77" s="107"/>
      <c r="BV77" s="107"/>
      <c r="BW77" s="107"/>
      <c r="BX77" s="107"/>
      <c r="BY77" s="107"/>
      <c r="BZ77" s="107"/>
      <c r="CA77" s="87"/>
      <c r="CB77" s="107"/>
    </row>
    <row r="78" spans="1:80" ht="13.5" thickTop="1" thickBot="1">
      <c r="A78" s="81" t="s">
        <v>279</v>
      </c>
      <c r="B78" s="75">
        <f t="shared" ref="B78:AP78" si="130">+B79</f>
        <v>909260</v>
      </c>
      <c r="C78" s="75">
        <f t="shared" si="130"/>
        <v>0</v>
      </c>
      <c r="D78" s="75">
        <f t="shared" si="130"/>
        <v>0</v>
      </c>
      <c r="E78" s="75">
        <f t="shared" si="130"/>
        <v>0</v>
      </c>
      <c r="F78" s="75">
        <f t="shared" si="130"/>
        <v>0</v>
      </c>
      <c r="G78" s="75">
        <f t="shared" si="130"/>
        <v>0</v>
      </c>
      <c r="H78" s="75">
        <f t="shared" si="130"/>
        <v>0</v>
      </c>
      <c r="I78" s="75">
        <f t="shared" si="130"/>
        <v>0</v>
      </c>
      <c r="J78" s="75">
        <f t="shared" si="130"/>
        <v>0</v>
      </c>
      <c r="K78" s="75">
        <f t="shared" si="130"/>
        <v>0</v>
      </c>
      <c r="L78" s="75">
        <f t="shared" si="130"/>
        <v>0</v>
      </c>
      <c r="M78" s="75">
        <f t="shared" si="130"/>
        <v>0</v>
      </c>
      <c r="N78" s="75">
        <f t="shared" si="130"/>
        <v>909260</v>
      </c>
      <c r="O78" s="90"/>
      <c r="P78" s="75">
        <f t="shared" si="130"/>
        <v>10135254</v>
      </c>
      <c r="Q78" s="75">
        <f t="shared" si="130"/>
        <v>909260</v>
      </c>
      <c r="R78" s="75">
        <f t="shared" si="130"/>
        <v>909260</v>
      </c>
      <c r="S78" s="75">
        <f t="shared" si="130"/>
        <v>909260</v>
      </c>
      <c r="T78" s="75">
        <f t="shared" si="130"/>
        <v>824386</v>
      </c>
      <c r="U78" s="75">
        <f t="shared" si="130"/>
        <v>824386</v>
      </c>
      <c r="V78" s="75">
        <f t="shared" si="130"/>
        <v>824386</v>
      </c>
      <c r="W78" s="75">
        <f t="shared" si="130"/>
        <v>824386</v>
      </c>
      <c r="X78" s="75">
        <f t="shared" si="130"/>
        <v>824386</v>
      </c>
      <c r="Y78" s="75">
        <f t="shared" si="130"/>
        <v>824386</v>
      </c>
      <c r="Z78" s="75">
        <f t="shared" si="130"/>
        <v>824386</v>
      </c>
      <c r="AA78" s="75">
        <f t="shared" si="130"/>
        <v>824386</v>
      </c>
      <c r="AB78" s="75">
        <f t="shared" si="130"/>
        <v>812386</v>
      </c>
      <c r="AC78" s="90"/>
      <c r="AD78" s="75">
        <f t="shared" si="130"/>
        <v>0</v>
      </c>
      <c r="AE78" s="75">
        <f t="shared" si="130"/>
        <v>0</v>
      </c>
      <c r="AF78" s="75">
        <f t="shared" si="130"/>
        <v>0</v>
      </c>
      <c r="AG78" s="75">
        <f t="shared" si="130"/>
        <v>0</v>
      </c>
      <c r="AH78" s="75">
        <f t="shared" si="130"/>
        <v>0</v>
      </c>
      <c r="AI78" s="75">
        <f t="shared" si="130"/>
        <v>0</v>
      </c>
      <c r="AJ78" s="75">
        <f t="shared" si="130"/>
        <v>0</v>
      </c>
      <c r="AK78" s="75">
        <f t="shared" si="130"/>
        <v>0</v>
      </c>
      <c r="AL78" s="75">
        <f t="shared" si="130"/>
        <v>0</v>
      </c>
      <c r="AM78" s="75">
        <f t="shared" si="130"/>
        <v>0</v>
      </c>
      <c r="AN78" s="75">
        <f t="shared" si="130"/>
        <v>0</v>
      </c>
      <c r="AO78" s="75">
        <f t="shared" si="130"/>
        <v>0</v>
      </c>
      <c r="AP78" s="75">
        <f t="shared" si="130"/>
        <v>0</v>
      </c>
      <c r="AQ78" s="90"/>
      <c r="AR78" s="75">
        <f>SUM(AS78:BD78)</f>
        <v>16929629</v>
      </c>
      <c r="AS78" s="75">
        <f t="shared" ref="AS78:BD78" si="131">+AS79</f>
        <v>750370</v>
      </c>
      <c r="AT78" s="75">
        <f t="shared" si="131"/>
        <v>0</v>
      </c>
      <c r="AU78" s="75">
        <f t="shared" si="131"/>
        <v>750370</v>
      </c>
      <c r="AV78" s="75">
        <f t="shared" si="131"/>
        <v>0</v>
      </c>
      <c r="AW78" s="75">
        <f t="shared" si="131"/>
        <v>0</v>
      </c>
      <c r="AX78" s="75">
        <f t="shared" si="131"/>
        <v>2226440</v>
      </c>
      <c r="AY78" s="75">
        <f t="shared" si="131"/>
        <v>2166005</v>
      </c>
      <c r="AZ78" s="75">
        <f t="shared" si="131"/>
        <v>2214628</v>
      </c>
      <c r="BA78" s="75">
        <f t="shared" si="131"/>
        <v>2174330</v>
      </c>
      <c r="BB78" s="75">
        <f t="shared" si="131"/>
        <v>2139908</v>
      </c>
      <c r="BC78" s="75">
        <f t="shared" si="131"/>
        <v>2262524</v>
      </c>
      <c r="BD78" s="75">
        <f t="shared" si="131"/>
        <v>2245054</v>
      </c>
      <c r="BE78" s="98"/>
      <c r="BF78" s="75">
        <f>+BF79</f>
        <v>0</v>
      </c>
      <c r="BG78" s="75">
        <f t="shared" ref="BG78:BR78" si="132">SUM(BG79:BG81)</f>
        <v>0</v>
      </c>
      <c r="BH78" s="75">
        <f t="shared" si="132"/>
        <v>0</v>
      </c>
      <c r="BI78" s="75">
        <f t="shared" si="132"/>
        <v>0</v>
      </c>
      <c r="BJ78" s="75">
        <f t="shared" si="132"/>
        <v>0</v>
      </c>
      <c r="BK78" s="75">
        <f t="shared" si="132"/>
        <v>0</v>
      </c>
      <c r="BL78" s="75">
        <f t="shared" si="132"/>
        <v>0</v>
      </c>
      <c r="BM78" s="75">
        <f t="shared" si="132"/>
        <v>0</v>
      </c>
      <c r="BN78" s="75">
        <f t="shared" si="132"/>
        <v>0</v>
      </c>
      <c r="BO78" s="75">
        <f t="shared" si="132"/>
        <v>0</v>
      </c>
      <c r="BP78" s="75">
        <f t="shared" si="132"/>
        <v>0</v>
      </c>
      <c r="BQ78" s="75">
        <f t="shared" si="132"/>
        <v>0</v>
      </c>
      <c r="BR78" s="75">
        <f t="shared" si="132"/>
        <v>0</v>
      </c>
      <c r="BS78" s="87"/>
      <c r="BT78" s="75">
        <f>SUM(BU78:BZ78)</f>
        <v>0</v>
      </c>
      <c r="BU78" s="75">
        <f t="shared" ref="BU78:BZ78" si="133">SUM(BU79:BU81)</f>
        <v>0</v>
      </c>
      <c r="BV78" s="75">
        <f t="shared" si="133"/>
        <v>0</v>
      </c>
      <c r="BW78" s="75">
        <f t="shared" si="133"/>
        <v>0</v>
      </c>
      <c r="BX78" s="75">
        <f t="shared" si="133"/>
        <v>0</v>
      </c>
      <c r="BY78" s="75">
        <f t="shared" si="133"/>
        <v>0</v>
      </c>
      <c r="BZ78" s="75">
        <f t="shared" si="133"/>
        <v>0</v>
      </c>
      <c r="CA78" s="95"/>
      <c r="CB78" s="75">
        <f>SUM(CB79:CB81)</f>
        <v>0</v>
      </c>
    </row>
    <row r="79" spans="1:80" ht="13.5" thickTop="1" thickBot="1">
      <c r="A79" s="64" t="s">
        <v>280</v>
      </c>
      <c r="B79" s="72">
        <f>SUM(C79:N79)</f>
        <v>909260</v>
      </c>
      <c r="C79" s="72">
        <v>0</v>
      </c>
      <c r="D79" s="72">
        <v>0</v>
      </c>
      <c r="E79" s="72">
        <v>0</v>
      </c>
      <c r="F79" s="72">
        <v>0</v>
      </c>
      <c r="G79" s="72">
        <v>0</v>
      </c>
      <c r="H79" s="72">
        <v>0</v>
      </c>
      <c r="I79" s="72">
        <v>0</v>
      </c>
      <c r="J79" s="72">
        <v>0</v>
      </c>
      <c r="K79" s="72">
        <v>0</v>
      </c>
      <c r="L79" s="72">
        <v>0</v>
      </c>
      <c r="M79" s="72">
        <v>0</v>
      </c>
      <c r="N79" s="72">
        <v>909260</v>
      </c>
      <c r="P79" s="72">
        <f>SUM(Q79:AB79)</f>
        <v>10135254</v>
      </c>
      <c r="Q79" s="72">
        <v>909260</v>
      </c>
      <c r="R79" s="72">
        <v>909260</v>
      </c>
      <c r="S79" s="72">
        <v>909260</v>
      </c>
      <c r="T79" s="72">
        <v>824386</v>
      </c>
      <c r="U79" s="72">
        <v>824386</v>
      </c>
      <c r="V79" s="72">
        <v>824386</v>
      </c>
      <c r="W79" s="72">
        <v>824386</v>
      </c>
      <c r="X79" s="72">
        <v>824386</v>
      </c>
      <c r="Y79" s="72">
        <v>824386</v>
      </c>
      <c r="Z79" s="72">
        <v>824386</v>
      </c>
      <c r="AA79" s="72">
        <v>824386</v>
      </c>
      <c r="AB79" s="72">
        <v>812386</v>
      </c>
      <c r="AD79" s="72">
        <f>SUM(AE79:AP79)</f>
        <v>0</v>
      </c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R79" s="72">
        <f>SUM(AS79:BD79)</f>
        <v>16929629</v>
      </c>
      <c r="AS79" s="72">
        <v>750370</v>
      </c>
      <c r="AT79" s="72">
        <v>0</v>
      </c>
      <c r="AU79" s="72">
        <v>750370</v>
      </c>
      <c r="AV79" s="72"/>
      <c r="AW79" s="72"/>
      <c r="AX79" s="72">
        <v>2226440</v>
      </c>
      <c r="AY79" s="72">
        <v>2166005</v>
      </c>
      <c r="AZ79" s="72">
        <v>2214628</v>
      </c>
      <c r="BA79" s="72">
        <v>2174330</v>
      </c>
      <c r="BB79" s="72">
        <v>2139908</v>
      </c>
      <c r="BC79" s="72">
        <v>2262524</v>
      </c>
      <c r="BD79" s="72">
        <v>2245054</v>
      </c>
      <c r="BF79" s="72">
        <v>0</v>
      </c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>
        <v>0</v>
      </c>
      <c r="BR79" s="72">
        <v>0</v>
      </c>
      <c r="BT79" s="72">
        <f>SUM(BU79:BZ79)</f>
        <v>0</v>
      </c>
      <c r="BU79" s="72"/>
      <c r="BV79" s="72"/>
      <c r="BW79" s="72"/>
      <c r="BX79" s="72"/>
      <c r="BY79" s="72">
        <v>0</v>
      </c>
      <c r="BZ79" s="72">
        <v>0</v>
      </c>
      <c r="CB79" s="72">
        <v>0</v>
      </c>
    </row>
    <row r="80" spans="1:80" ht="13.5" hidden="1" thickTop="1" thickBot="1">
      <c r="A80" s="88"/>
      <c r="B80" s="109">
        <f>SUM(AC80:AJ80)</f>
        <v>0</v>
      </c>
      <c r="C80" s="109">
        <f t="shared" ref="C80:N81" si="134">SUM(S80:Z80)</f>
        <v>0</v>
      </c>
      <c r="D80" s="109">
        <f t="shared" si="134"/>
        <v>0</v>
      </c>
      <c r="E80" s="109">
        <f t="shared" si="134"/>
        <v>0</v>
      </c>
      <c r="F80" s="109">
        <f t="shared" si="134"/>
        <v>0</v>
      </c>
      <c r="G80" s="109">
        <f t="shared" si="134"/>
        <v>0</v>
      </c>
      <c r="H80" s="109">
        <f t="shared" si="134"/>
        <v>0</v>
      </c>
      <c r="I80" s="109">
        <f t="shared" si="134"/>
        <v>0</v>
      </c>
      <c r="J80" s="109">
        <f t="shared" si="134"/>
        <v>0</v>
      </c>
      <c r="K80" s="109">
        <f t="shared" si="134"/>
        <v>0</v>
      </c>
      <c r="L80" s="109">
        <f t="shared" si="134"/>
        <v>0</v>
      </c>
      <c r="M80" s="109">
        <f t="shared" si="134"/>
        <v>0</v>
      </c>
      <c r="N80" s="109">
        <f t="shared" si="134"/>
        <v>0</v>
      </c>
      <c r="O80" s="91"/>
      <c r="P80" s="109">
        <f>SUM(AE80:AL80)</f>
        <v>0</v>
      </c>
      <c r="Q80" s="109">
        <f t="shared" ref="Q80:AB81" si="135">SUM(V80:AC80)</f>
        <v>0</v>
      </c>
      <c r="R80" s="109">
        <f t="shared" si="135"/>
        <v>0</v>
      </c>
      <c r="S80" s="109">
        <f t="shared" si="135"/>
        <v>0</v>
      </c>
      <c r="T80" s="109">
        <f t="shared" si="135"/>
        <v>0</v>
      </c>
      <c r="U80" s="109">
        <f t="shared" si="135"/>
        <v>0</v>
      </c>
      <c r="V80" s="109">
        <f t="shared" si="135"/>
        <v>0</v>
      </c>
      <c r="W80" s="109">
        <f t="shared" si="135"/>
        <v>0</v>
      </c>
      <c r="X80" s="109">
        <f t="shared" si="135"/>
        <v>0</v>
      </c>
      <c r="Y80" s="109">
        <f t="shared" si="135"/>
        <v>0</v>
      </c>
      <c r="Z80" s="109">
        <f t="shared" si="135"/>
        <v>0</v>
      </c>
      <c r="AA80" s="109">
        <f t="shared" si="135"/>
        <v>0</v>
      </c>
      <c r="AB80" s="109">
        <f t="shared" si="135"/>
        <v>0</v>
      </c>
      <c r="AC80" s="91"/>
      <c r="AD80" s="109">
        <f>SUM(AI80:AP80)</f>
        <v>0</v>
      </c>
      <c r="AE80" s="109"/>
      <c r="AF80" s="109"/>
      <c r="AG80" s="109"/>
      <c r="AH80" s="109"/>
      <c r="AI80" s="109"/>
      <c r="AJ80" s="109"/>
      <c r="AK80" s="110">
        <f t="shared" ref="AK80:AP80" si="136">SUM(AM80:AX80)</f>
        <v>0</v>
      </c>
      <c r="AL80" s="110">
        <f t="shared" si="136"/>
        <v>0</v>
      </c>
      <c r="AM80" s="110">
        <f t="shared" si="136"/>
        <v>0</v>
      </c>
      <c r="AN80" s="110">
        <f t="shared" si="136"/>
        <v>0</v>
      </c>
      <c r="AO80" s="110">
        <f t="shared" si="136"/>
        <v>0</v>
      </c>
      <c r="AP80" s="110">
        <f t="shared" si="136"/>
        <v>0</v>
      </c>
      <c r="AQ80" s="91"/>
      <c r="AR80" s="110"/>
      <c r="AS80" s="110">
        <f t="shared" ref="AS80:BD80" si="137">SUM(AU80:BF80)</f>
        <v>0</v>
      </c>
      <c r="AT80" s="110">
        <f t="shared" si="137"/>
        <v>0</v>
      </c>
      <c r="AU80" s="110">
        <f t="shared" si="137"/>
        <v>0</v>
      </c>
      <c r="AV80" s="110">
        <f t="shared" si="137"/>
        <v>0</v>
      </c>
      <c r="AW80" s="110">
        <f t="shared" si="137"/>
        <v>0</v>
      </c>
      <c r="AX80" s="110">
        <f t="shared" si="137"/>
        <v>0</v>
      </c>
      <c r="AY80" s="110">
        <f t="shared" si="137"/>
        <v>0</v>
      </c>
      <c r="AZ80" s="110">
        <f t="shared" si="137"/>
        <v>0</v>
      </c>
      <c r="BA80" s="110">
        <f t="shared" si="137"/>
        <v>0</v>
      </c>
      <c r="BB80" s="110">
        <f t="shared" si="137"/>
        <v>0</v>
      </c>
      <c r="BC80" s="110">
        <f t="shared" si="137"/>
        <v>0</v>
      </c>
      <c r="BD80" s="110">
        <f t="shared" si="137"/>
        <v>0</v>
      </c>
      <c r="BE80" s="94"/>
      <c r="BF80" s="110">
        <f>SUM(BG80:BR80)</f>
        <v>0</v>
      </c>
      <c r="BG80" s="86"/>
      <c r="BH80" s="86"/>
      <c r="BI80" s="94"/>
      <c r="BJ80" s="94"/>
      <c r="BK80" s="94"/>
      <c r="BL80" s="94"/>
      <c r="BM80" s="94"/>
      <c r="BN80" s="94"/>
      <c r="BO80" s="94"/>
      <c r="BP80" s="94"/>
      <c r="BQ80" s="72"/>
      <c r="BR80" s="72"/>
      <c r="BT80" s="72">
        <f>SUM(BX80:BZ80)</f>
        <v>0</v>
      </c>
      <c r="BU80" s="94"/>
      <c r="BV80" s="94"/>
      <c r="BW80" s="94"/>
      <c r="BX80" s="94"/>
      <c r="BY80" s="94"/>
      <c r="BZ80" s="94"/>
      <c r="CA80" s="94"/>
      <c r="CB80" s="72"/>
    </row>
    <row r="81" spans="1:80" ht="13.5" hidden="1" thickTop="1" thickBot="1">
      <c r="A81" s="88" t="s">
        <v>281</v>
      </c>
      <c r="B81" s="78">
        <f>SUM(AC81:AJ81)</f>
        <v>0</v>
      </c>
      <c r="C81" s="78">
        <f t="shared" si="134"/>
        <v>0</v>
      </c>
      <c r="D81" s="78">
        <f t="shared" si="134"/>
        <v>0</v>
      </c>
      <c r="E81" s="78">
        <f t="shared" si="134"/>
        <v>0</v>
      </c>
      <c r="F81" s="78">
        <f t="shared" si="134"/>
        <v>0</v>
      </c>
      <c r="G81" s="78">
        <f t="shared" si="134"/>
        <v>0</v>
      </c>
      <c r="H81" s="78">
        <f t="shared" si="134"/>
        <v>0</v>
      </c>
      <c r="I81" s="78">
        <f t="shared" si="134"/>
        <v>0</v>
      </c>
      <c r="J81" s="78">
        <f t="shared" si="134"/>
        <v>0</v>
      </c>
      <c r="K81" s="78">
        <f t="shared" si="134"/>
        <v>0</v>
      </c>
      <c r="L81" s="78">
        <f t="shared" si="134"/>
        <v>0</v>
      </c>
      <c r="M81" s="78">
        <f t="shared" si="134"/>
        <v>0</v>
      </c>
      <c r="N81" s="78">
        <f t="shared" si="134"/>
        <v>0</v>
      </c>
      <c r="O81" s="91"/>
      <c r="P81" s="78">
        <f>SUM(AE81:AL81)</f>
        <v>0</v>
      </c>
      <c r="Q81" s="78">
        <f t="shared" si="135"/>
        <v>0</v>
      </c>
      <c r="R81" s="78">
        <f t="shared" si="135"/>
        <v>0</v>
      </c>
      <c r="S81" s="78">
        <f t="shared" si="135"/>
        <v>0</v>
      </c>
      <c r="T81" s="78">
        <f t="shared" si="135"/>
        <v>0</v>
      </c>
      <c r="U81" s="78">
        <f t="shared" si="135"/>
        <v>0</v>
      </c>
      <c r="V81" s="78">
        <f t="shared" si="135"/>
        <v>0</v>
      </c>
      <c r="W81" s="78">
        <f t="shared" si="135"/>
        <v>0</v>
      </c>
      <c r="X81" s="78">
        <f t="shared" si="135"/>
        <v>0</v>
      </c>
      <c r="Y81" s="78">
        <f t="shared" si="135"/>
        <v>0</v>
      </c>
      <c r="Z81" s="78">
        <f t="shared" si="135"/>
        <v>0</v>
      </c>
      <c r="AA81" s="78">
        <f t="shared" si="135"/>
        <v>0</v>
      </c>
      <c r="AB81" s="78">
        <f t="shared" si="135"/>
        <v>0</v>
      </c>
      <c r="AC81" s="91"/>
      <c r="AD81" s="78">
        <f>SUM(AI81:AP81)</f>
        <v>0</v>
      </c>
      <c r="AE81" s="78"/>
      <c r="AF81" s="78"/>
      <c r="AG81" s="78"/>
      <c r="AH81" s="78"/>
      <c r="AI81" s="78"/>
      <c r="AJ81" s="78"/>
      <c r="AK81" s="76">
        <f t="shared" ref="AK81:AP81" si="138">SUM(AS81:AX81)</f>
        <v>0</v>
      </c>
      <c r="AL81" s="76">
        <f t="shared" si="138"/>
        <v>0</v>
      </c>
      <c r="AM81" s="76">
        <f t="shared" si="138"/>
        <v>0</v>
      </c>
      <c r="AN81" s="76">
        <f t="shared" si="138"/>
        <v>0</v>
      </c>
      <c r="AO81" s="76">
        <f t="shared" si="138"/>
        <v>0</v>
      </c>
      <c r="AP81" s="76">
        <f t="shared" si="138"/>
        <v>0</v>
      </c>
      <c r="AQ81" s="91"/>
      <c r="AR81" s="76"/>
      <c r="AS81" s="76">
        <f t="shared" ref="AS81:BD81" si="139">SUM(BA81:BF81)</f>
        <v>0</v>
      </c>
      <c r="AT81" s="76">
        <f t="shared" si="139"/>
        <v>0</v>
      </c>
      <c r="AU81" s="76">
        <f t="shared" si="139"/>
        <v>0</v>
      </c>
      <c r="AV81" s="76">
        <f t="shared" si="139"/>
        <v>0</v>
      </c>
      <c r="AW81" s="76">
        <f t="shared" si="139"/>
        <v>0</v>
      </c>
      <c r="AX81" s="76">
        <f t="shared" si="139"/>
        <v>0</v>
      </c>
      <c r="AY81" s="76">
        <f t="shared" si="139"/>
        <v>0</v>
      </c>
      <c r="AZ81" s="76">
        <f t="shared" si="139"/>
        <v>0</v>
      </c>
      <c r="BA81" s="76">
        <f t="shared" si="139"/>
        <v>0</v>
      </c>
      <c r="BB81" s="76">
        <f t="shared" si="139"/>
        <v>0</v>
      </c>
      <c r="BC81" s="76">
        <f t="shared" si="139"/>
        <v>0</v>
      </c>
      <c r="BD81" s="76">
        <f t="shared" si="139"/>
        <v>0</v>
      </c>
      <c r="BE81" s="94"/>
      <c r="BF81" s="76">
        <f>SUM(BM81:BR81)</f>
        <v>0</v>
      </c>
      <c r="BG81" s="76"/>
      <c r="BH81" s="76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T81" s="72">
        <f>SUM(BU81:BZ81)</f>
        <v>0</v>
      </c>
      <c r="BU81" s="72"/>
      <c r="BV81" s="72"/>
      <c r="BW81" s="72"/>
      <c r="BX81" s="72"/>
      <c r="BY81" s="72"/>
      <c r="BZ81" s="72"/>
      <c r="CA81" s="94"/>
      <c r="CB81" s="72"/>
    </row>
    <row r="82" spans="1:80" ht="13.5" thickTop="1" thickBot="1">
      <c r="A82" s="88"/>
      <c r="O82" s="88"/>
      <c r="AC82" s="88"/>
      <c r="AQ82" s="88"/>
      <c r="AR82" s="65"/>
    </row>
    <row r="83" spans="1:80" ht="13.5" thickTop="1" thickBot="1">
      <c r="A83" s="81" t="s">
        <v>444</v>
      </c>
      <c r="B83" s="75">
        <f t="shared" ref="B83:AP83" si="140">+B84</f>
        <v>0</v>
      </c>
      <c r="C83" s="75">
        <f t="shared" si="140"/>
        <v>0</v>
      </c>
      <c r="D83" s="75">
        <f t="shared" si="140"/>
        <v>0</v>
      </c>
      <c r="E83" s="75">
        <f t="shared" si="140"/>
        <v>0</v>
      </c>
      <c r="F83" s="75">
        <f t="shared" si="140"/>
        <v>0</v>
      </c>
      <c r="G83" s="75">
        <f t="shared" si="140"/>
        <v>0</v>
      </c>
      <c r="H83" s="75">
        <f t="shared" si="140"/>
        <v>0</v>
      </c>
      <c r="I83" s="75">
        <f t="shared" si="140"/>
        <v>0</v>
      </c>
      <c r="J83" s="75">
        <f t="shared" si="140"/>
        <v>0</v>
      </c>
      <c r="K83" s="75">
        <f t="shared" si="140"/>
        <v>0</v>
      </c>
      <c r="L83" s="75">
        <f t="shared" si="140"/>
        <v>0</v>
      </c>
      <c r="M83" s="75">
        <f t="shared" si="140"/>
        <v>0</v>
      </c>
      <c r="N83" s="75">
        <f t="shared" si="140"/>
        <v>0</v>
      </c>
      <c r="O83" s="90"/>
      <c r="P83" s="75">
        <f t="shared" si="140"/>
        <v>94000</v>
      </c>
      <c r="Q83" s="75">
        <f t="shared" si="140"/>
        <v>0</v>
      </c>
      <c r="R83" s="75">
        <f t="shared" si="140"/>
        <v>0</v>
      </c>
      <c r="S83" s="75">
        <f t="shared" si="140"/>
        <v>0</v>
      </c>
      <c r="T83" s="75">
        <f t="shared" si="140"/>
        <v>0</v>
      </c>
      <c r="U83" s="75">
        <f t="shared" si="140"/>
        <v>0</v>
      </c>
      <c r="V83" s="75">
        <f t="shared" si="140"/>
        <v>0</v>
      </c>
      <c r="W83" s="75">
        <f t="shared" si="140"/>
        <v>0</v>
      </c>
      <c r="X83" s="75">
        <f t="shared" si="140"/>
        <v>0</v>
      </c>
      <c r="Y83" s="75">
        <f t="shared" si="140"/>
        <v>0</v>
      </c>
      <c r="Z83" s="75">
        <f t="shared" si="140"/>
        <v>0</v>
      </c>
      <c r="AA83" s="75">
        <f t="shared" si="140"/>
        <v>50000</v>
      </c>
      <c r="AB83" s="75">
        <f t="shared" si="140"/>
        <v>44000</v>
      </c>
      <c r="AC83" s="90"/>
      <c r="AD83" s="75">
        <f t="shared" si="140"/>
        <v>0</v>
      </c>
      <c r="AE83" s="75">
        <f t="shared" si="140"/>
        <v>0</v>
      </c>
      <c r="AF83" s="75">
        <f t="shared" si="140"/>
        <v>0</v>
      </c>
      <c r="AG83" s="75">
        <f t="shared" si="140"/>
        <v>0</v>
      </c>
      <c r="AH83" s="75">
        <f t="shared" si="140"/>
        <v>0</v>
      </c>
      <c r="AI83" s="75">
        <f t="shared" si="140"/>
        <v>0</v>
      </c>
      <c r="AJ83" s="75">
        <f t="shared" si="140"/>
        <v>0</v>
      </c>
      <c r="AK83" s="75">
        <f t="shared" si="140"/>
        <v>0</v>
      </c>
      <c r="AL83" s="75">
        <f t="shared" si="140"/>
        <v>0</v>
      </c>
      <c r="AM83" s="75">
        <f t="shared" si="140"/>
        <v>0</v>
      </c>
      <c r="AN83" s="75">
        <f t="shared" si="140"/>
        <v>0</v>
      </c>
      <c r="AO83" s="75">
        <f t="shared" si="140"/>
        <v>0</v>
      </c>
      <c r="AP83" s="75">
        <f t="shared" si="140"/>
        <v>0</v>
      </c>
      <c r="AQ83" s="90"/>
      <c r="AR83" s="75">
        <f>SUM(AS83:BD83)</f>
        <v>480000</v>
      </c>
      <c r="AS83" s="75">
        <f t="shared" ref="AS83:BD83" si="141">+AS84</f>
        <v>40000</v>
      </c>
      <c r="AT83" s="75">
        <f t="shared" si="141"/>
        <v>40000</v>
      </c>
      <c r="AU83" s="75">
        <f t="shared" si="141"/>
        <v>40000</v>
      </c>
      <c r="AV83" s="75">
        <f t="shared" si="141"/>
        <v>40000</v>
      </c>
      <c r="AW83" s="75">
        <f t="shared" si="141"/>
        <v>40000</v>
      </c>
      <c r="AX83" s="75">
        <f t="shared" si="141"/>
        <v>40000</v>
      </c>
      <c r="AY83" s="75">
        <f t="shared" si="141"/>
        <v>40000</v>
      </c>
      <c r="AZ83" s="75">
        <f t="shared" si="141"/>
        <v>40000</v>
      </c>
      <c r="BA83" s="75">
        <f t="shared" si="141"/>
        <v>40000</v>
      </c>
      <c r="BB83" s="75">
        <f t="shared" si="141"/>
        <v>40000</v>
      </c>
      <c r="BC83" s="75">
        <f t="shared" si="141"/>
        <v>40000</v>
      </c>
      <c r="BD83" s="75">
        <f t="shared" si="141"/>
        <v>40000</v>
      </c>
      <c r="BE83" s="98"/>
      <c r="BF83" s="75">
        <f>+BF84</f>
        <v>480000</v>
      </c>
      <c r="BG83" s="75">
        <f t="shared" ref="BG83:BR83" si="142">SUM(BG84:BG86)</f>
        <v>40000</v>
      </c>
      <c r="BH83" s="75">
        <f t="shared" si="142"/>
        <v>40000</v>
      </c>
      <c r="BI83" s="75">
        <f t="shared" si="142"/>
        <v>40000</v>
      </c>
      <c r="BJ83" s="75">
        <f t="shared" si="142"/>
        <v>40000</v>
      </c>
      <c r="BK83" s="75">
        <f t="shared" si="142"/>
        <v>40000</v>
      </c>
      <c r="BL83" s="75">
        <f t="shared" si="142"/>
        <v>40000</v>
      </c>
      <c r="BM83" s="75">
        <f t="shared" si="142"/>
        <v>40000</v>
      </c>
      <c r="BN83" s="75">
        <f t="shared" si="142"/>
        <v>40000</v>
      </c>
      <c r="BO83" s="75">
        <f t="shared" si="142"/>
        <v>40000</v>
      </c>
      <c r="BP83" s="75">
        <f t="shared" si="142"/>
        <v>40000</v>
      </c>
      <c r="BQ83" s="75">
        <f t="shared" si="142"/>
        <v>40000</v>
      </c>
      <c r="BR83" s="75">
        <f t="shared" si="142"/>
        <v>40000</v>
      </c>
      <c r="BS83" s="87"/>
      <c r="BT83" s="75">
        <f>SUM(BU83:BZ83)</f>
        <v>0</v>
      </c>
      <c r="BU83" s="75">
        <f t="shared" ref="BU83:BZ83" si="143">SUM(BU84:BU86)</f>
        <v>0</v>
      </c>
      <c r="BV83" s="75">
        <f t="shared" si="143"/>
        <v>0</v>
      </c>
      <c r="BW83" s="75">
        <f t="shared" si="143"/>
        <v>0</v>
      </c>
      <c r="BX83" s="75">
        <f t="shared" si="143"/>
        <v>0</v>
      </c>
      <c r="BY83" s="75">
        <f t="shared" si="143"/>
        <v>0</v>
      </c>
      <c r="BZ83" s="75">
        <f t="shared" si="143"/>
        <v>0</v>
      </c>
      <c r="CA83" s="95"/>
      <c r="CB83" s="75">
        <f>SUM(CB84:CB86)</f>
        <v>0</v>
      </c>
    </row>
    <row r="84" spans="1:80" ht="13.5" thickTop="1" thickBot="1">
      <c r="A84" s="64" t="s">
        <v>282</v>
      </c>
      <c r="B84" s="72">
        <f>SUM(C84:N84)</f>
        <v>0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72">
        <v>0</v>
      </c>
      <c r="N84" s="72">
        <v>0</v>
      </c>
      <c r="P84" s="72">
        <f>SUM(Q84:AB84)</f>
        <v>94000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  <c r="X84" s="72">
        <v>0</v>
      </c>
      <c r="Y84" s="72">
        <v>0</v>
      </c>
      <c r="Z84" s="72">
        <v>0</v>
      </c>
      <c r="AA84" s="72">
        <v>50000</v>
      </c>
      <c r="AB84" s="72">
        <v>44000</v>
      </c>
      <c r="AD84" s="72">
        <f>SUM(AE84:AP84)</f>
        <v>0</v>
      </c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R84" s="72">
        <v>480000</v>
      </c>
      <c r="AS84" s="72">
        <v>40000</v>
      </c>
      <c r="AT84" s="72">
        <v>40000</v>
      </c>
      <c r="AU84" s="72">
        <v>40000</v>
      </c>
      <c r="AV84" s="72">
        <v>40000</v>
      </c>
      <c r="AW84" s="72">
        <v>40000</v>
      </c>
      <c r="AX84" s="72">
        <v>40000</v>
      </c>
      <c r="AY84" s="72">
        <v>40000</v>
      </c>
      <c r="AZ84" s="72">
        <v>40000</v>
      </c>
      <c r="BA84" s="72">
        <v>40000</v>
      </c>
      <c r="BB84" s="72">
        <v>40000</v>
      </c>
      <c r="BC84" s="72">
        <v>40000</v>
      </c>
      <c r="BD84" s="72">
        <v>40000</v>
      </c>
      <c r="BF84" s="72">
        <v>480000</v>
      </c>
      <c r="BG84" s="72">
        <v>40000</v>
      </c>
      <c r="BH84" s="72">
        <v>40000</v>
      </c>
      <c r="BI84" s="72">
        <v>40000</v>
      </c>
      <c r="BJ84" s="72">
        <v>40000</v>
      </c>
      <c r="BK84" s="72">
        <v>40000</v>
      </c>
      <c r="BL84" s="72">
        <v>40000</v>
      </c>
      <c r="BM84" s="72">
        <v>40000</v>
      </c>
      <c r="BN84" s="72">
        <v>40000</v>
      </c>
      <c r="BO84" s="72">
        <v>40000</v>
      </c>
      <c r="BP84" s="72">
        <v>40000</v>
      </c>
      <c r="BQ84" s="72">
        <v>40000</v>
      </c>
      <c r="BR84" s="72">
        <v>40000</v>
      </c>
      <c r="BT84" s="72"/>
      <c r="BU84" s="72"/>
      <c r="BV84" s="72"/>
      <c r="BW84" s="72"/>
      <c r="BX84" s="72"/>
      <c r="BY84" s="72"/>
      <c r="BZ84" s="72"/>
      <c r="CB84" s="72"/>
    </row>
    <row r="85" spans="1:80" ht="13.5" thickTop="1" thickBot="1">
      <c r="A85" s="88"/>
      <c r="O85" s="88"/>
      <c r="AC85" s="88"/>
      <c r="AQ85" s="88"/>
      <c r="AR85" s="65"/>
    </row>
    <row r="86" spans="1:80" ht="13.5" thickTop="1" thickBot="1">
      <c r="A86" s="81" t="s">
        <v>283</v>
      </c>
      <c r="B86" s="75">
        <f t="shared" ref="B86:AB86" si="144">+B87</f>
        <v>949627</v>
      </c>
      <c r="C86" s="75">
        <f t="shared" si="144"/>
        <v>0</v>
      </c>
      <c r="D86" s="75">
        <f t="shared" si="144"/>
        <v>0</v>
      </c>
      <c r="E86" s="75">
        <f t="shared" si="144"/>
        <v>0</v>
      </c>
      <c r="F86" s="75">
        <f t="shared" si="144"/>
        <v>0</v>
      </c>
      <c r="G86" s="75">
        <f t="shared" si="144"/>
        <v>0</v>
      </c>
      <c r="H86" s="75">
        <f t="shared" si="144"/>
        <v>0</v>
      </c>
      <c r="I86" s="75">
        <f t="shared" si="144"/>
        <v>0</v>
      </c>
      <c r="J86" s="75">
        <f t="shared" si="144"/>
        <v>0</v>
      </c>
      <c r="K86" s="75">
        <f t="shared" si="144"/>
        <v>0</v>
      </c>
      <c r="L86" s="75">
        <f t="shared" si="144"/>
        <v>0</v>
      </c>
      <c r="M86" s="75">
        <f t="shared" si="144"/>
        <v>0</v>
      </c>
      <c r="N86" s="75">
        <f t="shared" si="144"/>
        <v>949627</v>
      </c>
      <c r="O86" s="90"/>
      <c r="P86" s="75">
        <f t="shared" si="144"/>
        <v>991600</v>
      </c>
      <c r="Q86" s="75">
        <f t="shared" si="144"/>
        <v>128248</v>
      </c>
      <c r="R86" s="75">
        <f t="shared" si="144"/>
        <v>0</v>
      </c>
      <c r="S86" s="75">
        <f t="shared" si="144"/>
        <v>159389</v>
      </c>
      <c r="T86" s="75">
        <f t="shared" si="144"/>
        <v>0</v>
      </c>
      <c r="U86" s="75">
        <f t="shared" si="144"/>
        <v>93188</v>
      </c>
      <c r="V86" s="75">
        <f t="shared" si="144"/>
        <v>0</v>
      </c>
      <c r="W86" s="75">
        <f t="shared" si="144"/>
        <v>60612</v>
      </c>
      <c r="X86" s="75">
        <f t="shared" si="144"/>
        <v>0</v>
      </c>
      <c r="Y86" s="75">
        <f t="shared" si="144"/>
        <v>0</v>
      </c>
      <c r="Z86" s="75">
        <f t="shared" si="144"/>
        <v>0</v>
      </c>
      <c r="AA86" s="75">
        <f t="shared" si="144"/>
        <v>0</v>
      </c>
      <c r="AB86" s="75">
        <f t="shared" si="144"/>
        <v>550163</v>
      </c>
      <c r="AC86" s="90"/>
      <c r="AD86" s="75">
        <f>SUM(AI86:AP86)</f>
        <v>0</v>
      </c>
      <c r="AE86" s="75"/>
      <c r="AF86" s="75"/>
      <c r="AG86" s="75"/>
      <c r="AH86" s="75"/>
      <c r="AI86" s="75"/>
      <c r="AJ86" s="75"/>
      <c r="AK86" s="75">
        <f t="shared" ref="AK86:AP86" si="145">+AK87</f>
        <v>0</v>
      </c>
      <c r="AL86" s="75">
        <f t="shared" si="145"/>
        <v>0</v>
      </c>
      <c r="AM86" s="75">
        <f t="shared" si="145"/>
        <v>0</v>
      </c>
      <c r="AN86" s="75">
        <f t="shared" si="145"/>
        <v>0</v>
      </c>
      <c r="AO86" s="75">
        <f t="shared" si="145"/>
        <v>0</v>
      </c>
      <c r="AP86" s="75">
        <f t="shared" si="145"/>
        <v>0</v>
      </c>
      <c r="AQ86" s="90"/>
      <c r="AR86" s="75">
        <f>SUM(AS86:BD86)</f>
        <v>113321</v>
      </c>
      <c r="AS86" s="75">
        <f t="shared" ref="AS86:BC86" si="146">+AS87</f>
        <v>0</v>
      </c>
      <c r="AT86" s="75">
        <f t="shared" si="146"/>
        <v>0</v>
      </c>
      <c r="AU86" s="75">
        <f t="shared" si="146"/>
        <v>0</v>
      </c>
      <c r="AV86" s="75">
        <f t="shared" si="146"/>
        <v>0</v>
      </c>
      <c r="AW86" s="75">
        <f t="shared" si="146"/>
        <v>0</v>
      </c>
      <c r="AX86" s="75">
        <f t="shared" si="146"/>
        <v>0</v>
      </c>
      <c r="AY86" s="75">
        <f t="shared" si="146"/>
        <v>0</v>
      </c>
      <c r="AZ86" s="75">
        <f t="shared" si="146"/>
        <v>0</v>
      </c>
      <c r="BA86" s="75">
        <f t="shared" si="146"/>
        <v>0</v>
      </c>
      <c r="BB86" s="75">
        <f t="shared" si="146"/>
        <v>0</v>
      </c>
      <c r="BC86" s="75">
        <f t="shared" si="146"/>
        <v>113321</v>
      </c>
      <c r="BD86" s="75">
        <f>SUM(BL86:BQ86)</f>
        <v>0</v>
      </c>
      <c r="BE86" s="98"/>
      <c r="BF86" s="75">
        <f>SUM(BM86:BR86)</f>
        <v>0</v>
      </c>
      <c r="BG86" s="75"/>
      <c r="BH86" s="75"/>
      <c r="BI86" s="75">
        <f t="shared" ref="BI86:BR86" si="147">SUM(BI87:BI89)</f>
        <v>0</v>
      </c>
      <c r="BJ86" s="75">
        <f t="shared" si="147"/>
        <v>0</v>
      </c>
      <c r="BK86" s="75">
        <f t="shared" si="147"/>
        <v>0</v>
      </c>
      <c r="BL86" s="75">
        <f t="shared" si="147"/>
        <v>0</v>
      </c>
      <c r="BM86" s="75">
        <f t="shared" si="147"/>
        <v>0</v>
      </c>
      <c r="BN86" s="75">
        <f t="shared" si="147"/>
        <v>0</v>
      </c>
      <c r="BO86" s="75">
        <f t="shared" si="147"/>
        <v>0</v>
      </c>
      <c r="BP86" s="75">
        <f t="shared" si="147"/>
        <v>0</v>
      </c>
      <c r="BQ86" s="75">
        <f t="shared" si="147"/>
        <v>0</v>
      </c>
      <c r="BR86" s="75">
        <f t="shared" si="147"/>
        <v>0</v>
      </c>
      <c r="BS86" s="87"/>
      <c r="BT86" s="75">
        <f>SUM(BU86:BZ86)</f>
        <v>0</v>
      </c>
      <c r="BU86" s="75">
        <f t="shared" ref="BU86:BZ86" si="148">SUM(BU87:BU89)</f>
        <v>0</v>
      </c>
      <c r="BV86" s="75">
        <f t="shared" si="148"/>
        <v>0</v>
      </c>
      <c r="BW86" s="75">
        <f t="shared" si="148"/>
        <v>0</v>
      </c>
      <c r="BX86" s="75">
        <f t="shared" si="148"/>
        <v>0</v>
      </c>
      <c r="BY86" s="75">
        <f t="shared" si="148"/>
        <v>0</v>
      </c>
      <c r="BZ86" s="75">
        <f t="shared" si="148"/>
        <v>0</v>
      </c>
      <c r="CA86" s="95"/>
      <c r="CB86" s="75">
        <f>SUM(CB87:CB89)</f>
        <v>0</v>
      </c>
    </row>
    <row r="87" spans="1:80" ht="13.5" thickTop="1" thickBot="1">
      <c r="A87" s="64" t="s">
        <v>284</v>
      </c>
      <c r="B87" s="72">
        <f>SUM(C87:N87)</f>
        <v>949627</v>
      </c>
      <c r="C87" s="72">
        <v>0</v>
      </c>
      <c r="D87" s="72">
        <v>0</v>
      </c>
      <c r="E87" s="72">
        <v>0</v>
      </c>
      <c r="F87" s="72">
        <v>0</v>
      </c>
      <c r="G87" s="72">
        <v>0</v>
      </c>
      <c r="H87" s="72">
        <v>0</v>
      </c>
      <c r="I87" s="72">
        <v>0</v>
      </c>
      <c r="J87" s="72">
        <v>0</v>
      </c>
      <c r="K87" s="72">
        <v>0</v>
      </c>
      <c r="L87" s="72">
        <v>0</v>
      </c>
      <c r="M87" s="72">
        <v>0</v>
      </c>
      <c r="N87" s="72">
        <v>949627</v>
      </c>
      <c r="P87" s="72">
        <f>SUM(Q87:AB87)</f>
        <v>991600</v>
      </c>
      <c r="Q87" s="72">
        <v>128248</v>
      </c>
      <c r="R87" s="72">
        <v>0</v>
      </c>
      <c r="S87" s="72">
        <v>159389</v>
      </c>
      <c r="T87" s="72">
        <v>0</v>
      </c>
      <c r="U87" s="72">
        <v>93188</v>
      </c>
      <c r="V87" s="72">
        <v>0</v>
      </c>
      <c r="W87" s="72">
        <v>60612</v>
      </c>
      <c r="X87" s="72">
        <v>0</v>
      </c>
      <c r="Y87" s="72">
        <v>0</v>
      </c>
      <c r="Z87" s="72">
        <v>0</v>
      </c>
      <c r="AA87" s="72">
        <v>0</v>
      </c>
      <c r="AB87" s="72">
        <v>550163</v>
      </c>
      <c r="AD87" s="72">
        <f>SUM(AI87:AP87)</f>
        <v>0</v>
      </c>
      <c r="AE87" s="72"/>
      <c r="AF87" s="72"/>
      <c r="AG87" s="72"/>
      <c r="AH87" s="72"/>
      <c r="AI87" s="72"/>
      <c r="AJ87" s="72"/>
      <c r="AK87" s="72">
        <v>0</v>
      </c>
      <c r="AL87" s="72">
        <v>0</v>
      </c>
      <c r="AM87" s="72">
        <v>0</v>
      </c>
      <c r="AN87" s="72">
        <v>0</v>
      </c>
      <c r="AO87" s="72">
        <v>0</v>
      </c>
      <c r="AP87" s="72">
        <v>0</v>
      </c>
      <c r="AR87" s="72">
        <f>SUM(AS87:BD87)</f>
        <v>113321</v>
      </c>
      <c r="AS87" s="72">
        <v>0</v>
      </c>
      <c r="AT87" s="72">
        <v>0</v>
      </c>
      <c r="AU87" s="72">
        <v>0</v>
      </c>
      <c r="AV87" s="72">
        <v>0</v>
      </c>
      <c r="AW87" s="72">
        <v>0</v>
      </c>
      <c r="AX87" s="72">
        <v>0</v>
      </c>
      <c r="AY87" s="72">
        <v>0</v>
      </c>
      <c r="AZ87" s="72">
        <v>0</v>
      </c>
      <c r="BA87" s="72">
        <v>0</v>
      </c>
      <c r="BB87" s="72">
        <v>0</v>
      </c>
      <c r="BC87" s="72">
        <v>113321</v>
      </c>
      <c r="BD87" s="72">
        <f>SUM(BL87:BQ88)</f>
        <v>0</v>
      </c>
      <c r="BF87" s="72">
        <f>SUM(BM87:BR88)</f>
        <v>0</v>
      </c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T87" s="72">
        <f>SUM(BU87:BZ88)</f>
        <v>0</v>
      </c>
      <c r="BU87" s="72"/>
      <c r="BV87" s="72"/>
      <c r="BW87" s="72"/>
      <c r="BX87" s="72"/>
      <c r="BY87" s="72"/>
      <c r="BZ87" s="72"/>
      <c r="CB87" s="72"/>
    </row>
    <row r="88" spans="1:80" ht="14.25" hidden="1" customHeight="1">
      <c r="A88" s="64" t="s">
        <v>285</v>
      </c>
      <c r="B88" s="76">
        <f>SUM(AC88:AJ88)</f>
        <v>0</v>
      </c>
      <c r="C88" s="76">
        <f t="shared" ref="C88:N89" si="149">SUM(S88:Z88)</f>
        <v>0</v>
      </c>
      <c r="D88" s="76">
        <f t="shared" si="149"/>
        <v>0</v>
      </c>
      <c r="E88" s="76">
        <f t="shared" si="149"/>
        <v>0</v>
      </c>
      <c r="F88" s="76">
        <f t="shared" si="149"/>
        <v>0</v>
      </c>
      <c r="G88" s="76">
        <f t="shared" si="149"/>
        <v>0</v>
      </c>
      <c r="H88" s="76">
        <f t="shared" si="149"/>
        <v>0</v>
      </c>
      <c r="I88" s="76">
        <f t="shared" si="149"/>
        <v>0</v>
      </c>
      <c r="J88" s="76">
        <f t="shared" si="149"/>
        <v>0</v>
      </c>
      <c r="K88" s="76">
        <f t="shared" si="149"/>
        <v>0</v>
      </c>
      <c r="L88" s="76">
        <f t="shared" si="149"/>
        <v>0</v>
      </c>
      <c r="M88" s="76">
        <f t="shared" si="149"/>
        <v>0</v>
      </c>
      <c r="N88" s="76">
        <f t="shared" si="149"/>
        <v>0</v>
      </c>
      <c r="O88" s="113"/>
      <c r="P88" s="76">
        <f>SUM(AE88:AL88)</f>
        <v>0</v>
      </c>
      <c r="Q88" s="76">
        <f t="shared" ref="Q88:AB89" si="150">SUM(V88:AC88)</f>
        <v>0</v>
      </c>
      <c r="R88" s="76">
        <f t="shared" si="150"/>
        <v>0</v>
      </c>
      <c r="S88" s="76">
        <f t="shared" si="150"/>
        <v>0</v>
      </c>
      <c r="T88" s="76">
        <f t="shared" si="150"/>
        <v>0</v>
      </c>
      <c r="U88" s="76">
        <f t="shared" si="150"/>
        <v>0</v>
      </c>
      <c r="V88" s="76">
        <f t="shared" si="150"/>
        <v>0</v>
      </c>
      <c r="W88" s="76">
        <f t="shared" si="150"/>
        <v>0</v>
      </c>
      <c r="X88" s="76">
        <f t="shared" si="150"/>
        <v>0</v>
      </c>
      <c r="Y88" s="76">
        <f t="shared" si="150"/>
        <v>0</v>
      </c>
      <c r="Z88" s="76">
        <f t="shared" si="150"/>
        <v>0</v>
      </c>
      <c r="AA88" s="76">
        <f t="shared" si="150"/>
        <v>0</v>
      </c>
      <c r="AB88" s="76">
        <f t="shared" si="150"/>
        <v>0</v>
      </c>
      <c r="AC88" s="113"/>
      <c r="AD88" s="76">
        <f>SUM(AI88:AP88)</f>
        <v>0</v>
      </c>
      <c r="AE88" s="76"/>
      <c r="AF88" s="76"/>
      <c r="AG88" s="76"/>
      <c r="AH88" s="76"/>
      <c r="AI88" s="76"/>
      <c r="AJ88" s="76"/>
      <c r="AK88" s="76">
        <f t="shared" ref="AK88:AP88" si="151">SUM(AV88:AX88)</f>
        <v>0</v>
      </c>
      <c r="AL88" s="76">
        <f t="shared" si="151"/>
        <v>0</v>
      </c>
      <c r="AM88" s="76">
        <f t="shared" si="151"/>
        <v>0</v>
      </c>
      <c r="AN88" s="76">
        <f t="shared" si="151"/>
        <v>0</v>
      </c>
      <c r="AO88" s="76">
        <f t="shared" si="151"/>
        <v>0</v>
      </c>
      <c r="AP88" s="76">
        <f t="shared" si="151"/>
        <v>0</v>
      </c>
      <c r="AQ88" s="113"/>
      <c r="AR88" s="76"/>
      <c r="AS88" s="76">
        <f t="shared" ref="AS88:BD88" si="152">SUM(BD88:BF88)</f>
        <v>0</v>
      </c>
      <c r="AT88" s="76">
        <f t="shared" si="152"/>
        <v>0</v>
      </c>
      <c r="AU88" s="76">
        <f t="shared" si="152"/>
        <v>0</v>
      </c>
      <c r="AV88" s="76">
        <f t="shared" si="152"/>
        <v>0</v>
      </c>
      <c r="AW88" s="76">
        <f t="shared" si="152"/>
        <v>0</v>
      </c>
      <c r="AX88" s="76">
        <f t="shared" si="152"/>
        <v>0</v>
      </c>
      <c r="AY88" s="76">
        <f t="shared" si="152"/>
        <v>0</v>
      </c>
      <c r="AZ88" s="76">
        <f t="shared" si="152"/>
        <v>0</v>
      </c>
      <c r="BA88" s="76">
        <f t="shared" si="152"/>
        <v>0</v>
      </c>
      <c r="BB88" s="76">
        <f t="shared" si="152"/>
        <v>0</v>
      </c>
      <c r="BC88" s="76">
        <f t="shared" si="152"/>
        <v>0</v>
      </c>
      <c r="BD88" s="76">
        <f t="shared" si="152"/>
        <v>0</v>
      </c>
      <c r="BF88" s="76">
        <f>SUM(BP88:BR88)</f>
        <v>0</v>
      </c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100"/>
      <c r="BT88" s="76">
        <f>SUM(BX88:BZ88)</f>
        <v>0</v>
      </c>
      <c r="BU88" s="76"/>
      <c r="BV88" s="76"/>
      <c r="BW88" s="76"/>
      <c r="BX88" s="76"/>
      <c r="BY88" s="76"/>
      <c r="BZ88" s="76"/>
      <c r="CB88" s="117"/>
    </row>
    <row r="89" spans="1:80" ht="13.5" hidden="1" thickTop="1" thickBot="1">
      <c r="A89" s="88" t="s">
        <v>286</v>
      </c>
      <c r="B89" s="76">
        <f>SUM(AC89:AJ89)</f>
        <v>0</v>
      </c>
      <c r="C89" s="76">
        <f t="shared" si="149"/>
        <v>0</v>
      </c>
      <c r="D89" s="76">
        <f t="shared" si="149"/>
        <v>0</v>
      </c>
      <c r="E89" s="76">
        <f t="shared" si="149"/>
        <v>0</v>
      </c>
      <c r="F89" s="76">
        <f t="shared" si="149"/>
        <v>0</v>
      </c>
      <c r="G89" s="76">
        <f t="shared" si="149"/>
        <v>0</v>
      </c>
      <c r="H89" s="76">
        <f t="shared" si="149"/>
        <v>0</v>
      </c>
      <c r="I89" s="76">
        <f t="shared" si="149"/>
        <v>0</v>
      </c>
      <c r="J89" s="76">
        <f t="shared" si="149"/>
        <v>0</v>
      </c>
      <c r="K89" s="76">
        <f t="shared" si="149"/>
        <v>0</v>
      </c>
      <c r="L89" s="76">
        <f t="shared" si="149"/>
        <v>0</v>
      </c>
      <c r="M89" s="76">
        <f t="shared" si="149"/>
        <v>0</v>
      </c>
      <c r="N89" s="76">
        <f t="shared" si="149"/>
        <v>0</v>
      </c>
      <c r="O89" s="91"/>
      <c r="P89" s="76">
        <f>SUM(AE89:AL89)</f>
        <v>0</v>
      </c>
      <c r="Q89" s="76">
        <f t="shared" si="150"/>
        <v>0</v>
      </c>
      <c r="R89" s="76">
        <f t="shared" si="150"/>
        <v>0</v>
      </c>
      <c r="S89" s="76">
        <f t="shared" si="150"/>
        <v>0</v>
      </c>
      <c r="T89" s="76">
        <f t="shared" si="150"/>
        <v>0</v>
      </c>
      <c r="U89" s="76">
        <f t="shared" si="150"/>
        <v>0</v>
      </c>
      <c r="V89" s="76">
        <f t="shared" si="150"/>
        <v>0</v>
      </c>
      <c r="W89" s="76">
        <f t="shared" si="150"/>
        <v>0</v>
      </c>
      <c r="X89" s="76">
        <f t="shared" si="150"/>
        <v>0</v>
      </c>
      <c r="Y89" s="76">
        <f t="shared" si="150"/>
        <v>0</v>
      </c>
      <c r="Z89" s="76">
        <f t="shared" si="150"/>
        <v>0</v>
      </c>
      <c r="AA89" s="76">
        <f t="shared" si="150"/>
        <v>0</v>
      </c>
      <c r="AB89" s="76">
        <f t="shared" si="150"/>
        <v>0</v>
      </c>
      <c r="AC89" s="91"/>
      <c r="AD89" s="76">
        <f>SUM(AI89:AP89)</f>
        <v>0</v>
      </c>
      <c r="AE89" s="76"/>
      <c r="AF89" s="76"/>
      <c r="AG89" s="76"/>
      <c r="AH89" s="76"/>
      <c r="AI89" s="76"/>
      <c r="AJ89" s="76"/>
      <c r="AK89" s="76">
        <f t="shared" ref="AK89:AP89" si="153">SUM(AS89:AX89)</f>
        <v>0</v>
      </c>
      <c r="AL89" s="76">
        <f t="shared" si="153"/>
        <v>0</v>
      </c>
      <c r="AM89" s="76">
        <f t="shared" si="153"/>
        <v>0</v>
      </c>
      <c r="AN89" s="76">
        <f t="shared" si="153"/>
        <v>0</v>
      </c>
      <c r="AO89" s="76">
        <f t="shared" si="153"/>
        <v>0</v>
      </c>
      <c r="AP89" s="76">
        <f t="shared" si="153"/>
        <v>0</v>
      </c>
      <c r="AQ89" s="91"/>
      <c r="AR89" s="76"/>
      <c r="AS89" s="76">
        <f t="shared" ref="AS89:BD89" si="154">SUM(BA89:BF89)</f>
        <v>0</v>
      </c>
      <c r="AT89" s="76">
        <f t="shared" si="154"/>
        <v>0</v>
      </c>
      <c r="AU89" s="76">
        <f t="shared" si="154"/>
        <v>0</v>
      </c>
      <c r="AV89" s="76">
        <f t="shared" si="154"/>
        <v>0</v>
      </c>
      <c r="AW89" s="76">
        <f t="shared" si="154"/>
        <v>0</v>
      </c>
      <c r="AX89" s="76">
        <f t="shared" si="154"/>
        <v>0</v>
      </c>
      <c r="AY89" s="76">
        <f t="shared" si="154"/>
        <v>0</v>
      </c>
      <c r="AZ89" s="76">
        <f t="shared" si="154"/>
        <v>0</v>
      </c>
      <c r="BA89" s="76">
        <f t="shared" si="154"/>
        <v>0</v>
      </c>
      <c r="BB89" s="76">
        <f t="shared" si="154"/>
        <v>0</v>
      </c>
      <c r="BC89" s="76">
        <f t="shared" si="154"/>
        <v>0</v>
      </c>
      <c r="BD89" s="76">
        <f t="shared" si="154"/>
        <v>0</v>
      </c>
      <c r="BF89" s="76">
        <f>SUM(BM89:BR89)</f>
        <v>0</v>
      </c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102"/>
      <c r="BT89" s="76">
        <f>SUM(BU89:BZ89)</f>
        <v>0</v>
      </c>
      <c r="BU89" s="76"/>
      <c r="BV89" s="76"/>
      <c r="BW89" s="76"/>
      <c r="BX89" s="76"/>
      <c r="BY89" s="76"/>
      <c r="BZ89" s="72"/>
      <c r="CB89" s="72"/>
    </row>
    <row r="90" spans="1:80" ht="13.5" thickTop="1" thickBot="1">
      <c r="A90" s="88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8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8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8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7"/>
      <c r="BU90" s="87"/>
      <c r="BV90" s="87"/>
      <c r="BW90" s="87"/>
      <c r="BX90" s="87"/>
      <c r="BY90" s="87"/>
      <c r="BZ90" s="87"/>
      <c r="CA90" s="87"/>
      <c r="CB90" s="87"/>
    </row>
    <row r="91" spans="1:80" ht="13.5" thickTop="1" thickBot="1">
      <c r="A91" s="81" t="s">
        <v>287</v>
      </c>
      <c r="B91" s="75">
        <f t="shared" ref="B91:N91" si="155">SUM(B92:B104)</f>
        <v>21464990</v>
      </c>
      <c r="C91" s="75">
        <f t="shared" ref="C91:D91" si="156">SUM(C92:C104)</f>
        <v>0</v>
      </c>
      <c r="D91" s="75">
        <f t="shared" si="156"/>
        <v>0</v>
      </c>
      <c r="E91" s="75">
        <f t="shared" si="155"/>
        <v>0</v>
      </c>
      <c r="F91" s="75">
        <f t="shared" ref="F91:G91" si="157">SUM(F92:F104)</f>
        <v>0</v>
      </c>
      <c r="G91" s="75">
        <f t="shared" si="157"/>
        <v>0</v>
      </c>
      <c r="H91" s="75">
        <f t="shared" si="155"/>
        <v>0</v>
      </c>
      <c r="I91" s="75">
        <f t="shared" ref="I91:J91" si="158">SUM(I92:I104)</f>
        <v>0</v>
      </c>
      <c r="J91" s="75">
        <f t="shared" si="158"/>
        <v>0</v>
      </c>
      <c r="K91" s="75">
        <f t="shared" si="155"/>
        <v>0</v>
      </c>
      <c r="L91" s="75">
        <f t="shared" ref="L91:M91" si="159">SUM(L92:L104)</f>
        <v>0</v>
      </c>
      <c r="M91" s="75">
        <f t="shared" si="159"/>
        <v>0</v>
      </c>
      <c r="N91" s="75">
        <f t="shared" si="155"/>
        <v>21464990</v>
      </c>
      <c r="O91" s="90"/>
      <c r="P91" s="75">
        <f t="shared" ref="P91:AB91" si="160">SUM(P92:P104)</f>
        <v>19109537</v>
      </c>
      <c r="Q91" s="75">
        <f>SUM(Q92:Q104)</f>
        <v>4372739</v>
      </c>
      <c r="R91" s="75">
        <f>SUM(R92:R104)</f>
        <v>3935643</v>
      </c>
      <c r="S91" s="75">
        <f>SUM(S92:S104)</f>
        <v>1899134</v>
      </c>
      <c r="T91" s="75">
        <f>SUM(T92:T104)</f>
        <v>479275</v>
      </c>
      <c r="U91" s="75">
        <f t="shared" ref="U91" si="161">SUM(U92:U104)</f>
        <v>454062</v>
      </c>
      <c r="V91" s="75">
        <f t="shared" ref="V91:W91" si="162">SUM(V92:V104)</f>
        <v>1326294</v>
      </c>
      <c r="W91" s="75">
        <f t="shared" si="162"/>
        <v>1298437</v>
      </c>
      <c r="X91" s="75">
        <f t="shared" si="160"/>
        <v>1017823</v>
      </c>
      <c r="Y91" s="75">
        <f t="shared" si="160"/>
        <v>1063697</v>
      </c>
      <c r="Z91" s="75">
        <f t="shared" si="160"/>
        <v>876809</v>
      </c>
      <c r="AA91" s="75">
        <f t="shared" si="160"/>
        <v>1047389</v>
      </c>
      <c r="AB91" s="75">
        <f t="shared" si="160"/>
        <v>1338235</v>
      </c>
      <c r="AC91" s="90"/>
      <c r="AD91" s="75">
        <f>SUM(AD92:AD104)</f>
        <v>0</v>
      </c>
      <c r="AE91" s="75">
        <f>SUM(AE92:AE104)</f>
        <v>0</v>
      </c>
      <c r="AF91" s="75">
        <f>SUM(AF92:AF104)</f>
        <v>0</v>
      </c>
      <c r="AG91" s="75">
        <f>SUM(AG92:AG104)</f>
        <v>0</v>
      </c>
      <c r="AH91" s="75">
        <f>SUM(AH92:AH104)</f>
        <v>0</v>
      </c>
      <c r="AI91" s="75">
        <f t="shared" ref="AI91:AP91" si="163">SUM(AI92:AI101)</f>
        <v>0</v>
      </c>
      <c r="AJ91" s="75">
        <f t="shared" si="163"/>
        <v>0</v>
      </c>
      <c r="AK91" s="75">
        <f t="shared" si="163"/>
        <v>0</v>
      </c>
      <c r="AL91" s="75">
        <f t="shared" si="163"/>
        <v>0</v>
      </c>
      <c r="AM91" s="75">
        <f>SUM(AM92:AM101)</f>
        <v>0</v>
      </c>
      <c r="AN91" s="75">
        <f t="shared" si="163"/>
        <v>0</v>
      </c>
      <c r="AO91" s="75">
        <f t="shared" si="163"/>
        <v>0</v>
      </c>
      <c r="AP91" s="75">
        <f t="shared" si="163"/>
        <v>0</v>
      </c>
      <c r="AQ91" s="90"/>
      <c r="AR91" s="75">
        <f>SUM(AR94:AR101)</f>
        <v>9676305.3100000005</v>
      </c>
      <c r="AS91" s="75">
        <f>SUM(AS92:AS99)</f>
        <v>2515911</v>
      </c>
      <c r="AT91" s="75">
        <f>SUM(AT92:AT99)</f>
        <v>1079541.08</v>
      </c>
      <c r="AU91" s="75">
        <f>SUM(AU92:AU99)</f>
        <v>13015</v>
      </c>
      <c r="AV91" s="75">
        <f>SUM(AV92:AV99)</f>
        <v>195210</v>
      </c>
      <c r="AW91" s="75">
        <f>SUM(AW92:AW101)</f>
        <v>969993.14</v>
      </c>
      <c r="AX91" s="75">
        <f t="shared" ref="AX91:BD91" si="164">SUM(AX92:AX99)</f>
        <v>764966</v>
      </c>
      <c r="AY91" s="75">
        <f t="shared" si="164"/>
        <v>170000</v>
      </c>
      <c r="AZ91" s="75">
        <f t="shared" si="164"/>
        <v>520084</v>
      </c>
      <c r="BA91" s="75">
        <f t="shared" si="164"/>
        <v>435394</v>
      </c>
      <c r="BB91" s="75">
        <f t="shared" si="164"/>
        <v>995507.09</v>
      </c>
      <c r="BC91" s="75">
        <f t="shared" si="164"/>
        <v>217164</v>
      </c>
      <c r="BD91" s="75">
        <f t="shared" si="164"/>
        <v>1799520</v>
      </c>
      <c r="BE91" s="95"/>
      <c r="BF91" s="75">
        <f>SUM(BF92:BF99)</f>
        <v>1887269</v>
      </c>
      <c r="BG91" s="75">
        <f t="shared" ref="BG91:BR91" si="165">SUM(BG92:BG104)</f>
        <v>211991</v>
      </c>
      <c r="BH91" s="75">
        <f t="shared" si="165"/>
        <v>0</v>
      </c>
      <c r="BI91" s="75">
        <f t="shared" si="165"/>
        <v>490000</v>
      </c>
      <c r="BJ91" s="75">
        <f t="shared" si="165"/>
        <v>83978</v>
      </c>
      <c r="BK91" s="75">
        <f t="shared" si="165"/>
        <v>168044</v>
      </c>
      <c r="BL91" s="75">
        <f t="shared" si="165"/>
        <v>142487</v>
      </c>
      <c r="BM91" s="75">
        <f t="shared" si="165"/>
        <v>126055</v>
      </c>
      <c r="BN91" s="75">
        <f t="shared" si="165"/>
        <v>183525</v>
      </c>
      <c r="BO91" s="75">
        <f t="shared" si="165"/>
        <v>126055</v>
      </c>
      <c r="BP91" s="75">
        <f t="shared" si="165"/>
        <v>41989</v>
      </c>
      <c r="BQ91" s="75">
        <f t="shared" si="165"/>
        <v>168044</v>
      </c>
      <c r="BR91" s="75">
        <f t="shared" si="165"/>
        <v>145101</v>
      </c>
      <c r="BS91" s="87"/>
      <c r="BT91" s="75">
        <f>SUM(BU91:BZ91)</f>
        <v>0</v>
      </c>
      <c r="BU91" s="75">
        <f t="shared" ref="BU91:BZ91" si="166">SUM(BU92:BU104)</f>
        <v>0</v>
      </c>
      <c r="BV91" s="75">
        <f t="shared" si="166"/>
        <v>0</v>
      </c>
      <c r="BW91" s="75">
        <f t="shared" si="166"/>
        <v>0</v>
      </c>
      <c r="BX91" s="75">
        <f t="shared" si="166"/>
        <v>0</v>
      </c>
      <c r="BY91" s="75">
        <f t="shared" si="166"/>
        <v>0</v>
      </c>
      <c r="BZ91" s="75">
        <f t="shared" si="166"/>
        <v>0</v>
      </c>
      <c r="CA91" s="87"/>
      <c r="CB91" s="75">
        <f>SUM(CB92:CB104)</f>
        <v>0</v>
      </c>
    </row>
    <row r="92" spans="1:80" ht="12.75" thickTop="1">
      <c r="A92" s="88" t="s">
        <v>288</v>
      </c>
      <c r="B92" s="144">
        <f t="shared" ref="B92:B101" si="167">SUM(C92:N92)</f>
        <v>20556774</v>
      </c>
      <c r="C92" s="144">
        <v>0</v>
      </c>
      <c r="D92" s="144">
        <v>0</v>
      </c>
      <c r="E92" s="144">
        <v>0</v>
      </c>
      <c r="F92" s="144">
        <v>0</v>
      </c>
      <c r="G92" s="144">
        <v>0</v>
      </c>
      <c r="H92" s="144">
        <v>0</v>
      </c>
      <c r="I92" s="144">
        <v>0</v>
      </c>
      <c r="J92" s="144">
        <v>0</v>
      </c>
      <c r="K92" s="144">
        <v>0</v>
      </c>
      <c r="L92" s="144">
        <v>0</v>
      </c>
      <c r="M92" s="144">
        <v>0</v>
      </c>
      <c r="N92" s="144">
        <v>20556774</v>
      </c>
      <c r="O92" s="91"/>
      <c r="P92" s="144">
        <f t="shared" ref="P92:P101" si="168">SUM(Q92:AB92)</f>
        <v>9969975</v>
      </c>
      <c r="Q92" s="144">
        <v>3420000</v>
      </c>
      <c r="R92" s="144">
        <v>2850000</v>
      </c>
      <c r="S92" s="144">
        <v>1125000</v>
      </c>
      <c r="T92" s="144">
        <v>0</v>
      </c>
      <c r="U92" s="144">
        <v>0</v>
      </c>
      <c r="V92" s="144">
        <v>702525</v>
      </c>
      <c r="W92" s="144">
        <v>350000</v>
      </c>
      <c r="X92" s="144">
        <v>400000</v>
      </c>
      <c r="Y92" s="144">
        <v>0</v>
      </c>
      <c r="Z92" s="144">
        <v>397450</v>
      </c>
      <c r="AA92" s="144">
        <v>350000</v>
      </c>
      <c r="AB92" s="144">
        <v>375000</v>
      </c>
      <c r="AC92" s="91"/>
      <c r="AD92" s="144">
        <f>SUM(AE92:AP92)</f>
        <v>0</v>
      </c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91"/>
      <c r="AR92" s="144">
        <f>SUM(AS92:BD92)</f>
        <v>0</v>
      </c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  <c r="BC92" s="144"/>
      <c r="BD92" s="144"/>
      <c r="BE92" s="94"/>
      <c r="BF92" s="144">
        <v>0</v>
      </c>
      <c r="BG92" s="144"/>
      <c r="BH92" s="144"/>
      <c r="BI92" s="144"/>
      <c r="BJ92" s="144"/>
      <c r="BK92" s="144"/>
      <c r="BL92" s="144"/>
      <c r="BM92" s="144"/>
      <c r="BN92" s="144"/>
      <c r="BO92" s="144"/>
      <c r="BP92" s="144"/>
      <c r="BQ92" s="144"/>
      <c r="BR92" s="144"/>
      <c r="BS92" s="94"/>
      <c r="BT92" s="144">
        <f t="shared" ref="BT92:BT103" si="169">SUM(BU92:BZ92)</f>
        <v>0</v>
      </c>
      <c r="BU92" s="144"/>
      <c r="BV92" s="144"/>
      <c r="BW92" s="144"/>
      <c r="BX92" s="144"/>
      <c r="BY92" s="144"/>
      <c r="BZ92" s="144"/>
      <c r="CA92" s="94"/>
      <c r="CB92" s="144">
        <v>0</v>
      </c>
    </row>
    <row r="93" spans="1:80" hidden="1">
      <c r="A93" s="88" t="s">
        <v>289</v>
      </c>
      <c r="B93" s="144">
        <f t="shared" si="167"/>
        <v>0</v>
      </c>
      <c r="C93" s="144">
        <f t="shared" ref="C93:N93" si="170">SUM(E93:P93)</f>
        <v>0</v>
      </c>
      <c r="D93" s="144">
        <f t="shared" si="170"/>
        <v>0</v>
      </c>
      <c r="E93" s="144">
        <f t="shared" si="170"/>
        <v>0</v>
      </c>
      <c r="F93" s="144">
        <f t="shared" si="170"/>
        <v>0</v>
      </c>
      <c r="G93" s="144">
        <f t="shared" si="170"/>
        <v>0</v>
      </c>
      <c r="H93" s="144">
        <f t="shared" si="170"/>
        <v>0</v>
      </c>
      <c r="I93" s="144">
        <f t="shared" si="170"/>
        <v>0</v>
      </c>
      <c r="J93" s="144">
        <f t="shared" si="170"/>
        <v>0</v>
      </c>
      <c r="K93" s="144">
        <f t="shared" si="170"/>
        <v>0</v>
      </c>
      <c r="L93" s="144">
        <f t="shared" si="170"/>
        <v>0</v>
      </c>
      <c r="M93" s="144">
        <f t="shared" si="170"/>
        <v>0</v>
      </c>
      <c r="N93" s="144">
        <f t="shared" si="170"/>
        <v>0</v>
      </c>
      <c r="O93" s="91"/>
      <c r="P93" s="144">
        <f t="shared" si="168"/>
        <v>0</v>
      </c>
      <c r="Q93" s="144">
        <f t="shared" ref="Q93:AB93" si="171">SUM(V93:AC93)</f>
        <v>0</v>
      </c>
      <c r="R93" s="144">
        <f t="shared" si="171"/>
        <v>0</v>
      </c>
      <c r="S93" s="144">
        <f t="shared" si="171"/>
        <v>0</v>
      </c>
      <c r="T93" s="144">
        <f t="shared" si="171"/>
        <v>0</v>
      </c>
      <c r="U93" s="144">
        <f t="shared" si="171"/>
        <v>0</v>
      </c>
      <c r="V93" s="144">
        <f t="shared" si="171"/>
        <v>0</v>
      </c>
      <c r="W93" s="144">
        <f t="shared" si="171"/>
        <v>0</v>
      </c>
      <c r="X93" s="144">
        <f t="shared" si="171"/>
        <v>0</v>
      </c>
      <c r="Y93" s="144">
        <f t="shared" si="171"/>
        <v>0</v>
      </c>
      <c r="Z93" s="144">
        <f t="shared" si="171"/>
        <v>0</v>
      </c>
      <c r="AA93" s="144">
        <f t="shared" si="171"/>
        <v>0</v>
      </c>
      <c r="AB93" s="144">
        <f t="shared" si="171"/>
        <v>0</v>
      </c>
      <c r="AC93" s="91"/>
      <c r="AD93" s="144">
        <f>SUM(AI93:AP93)</f>
        <v>0</v>
      </c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91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144"/>
      <c r="BC93" s="144"/>
      <c r="BD93" s="144"/>
      <c r="BE93" s="94"/>
      <c r="BF93" s="144"/>
      <c r="BG93" s="144"/>
      <c r="BH93" s="144"/>
      <c r="BI93" s="144"/>
      <c r="BJ93" s="144"/>
      <c r="BK93" s="144"/>
      <c r="BL93" s="144"/>
      <c r="BM93" s="144"/>
      <c r="BN93" s="144"/>
      <c r="BO93" s="144"/>
      <c r="BP93" s="144"/>
      <c r="BQ93" s="144"/>
      <c r="BR93" s="144"/>
      <c r="BT93" s="144">
        <f t="shared" si="169"/>
        <v>0</v>
      </c>
      <c r="BU93" s="144"/>
      <c r="BV93" s="144"/>
      <c r="BW93" s="144"/>
      <c r="BX93" s="144"/>
      <c r="BY93" s="144"/>
      <c r="BZ93" s="144"/>
      <c r="CB93" s="144">
        <v>0</v>
      </c>
    </row>
    <row r="94" spans="1:80">
      <c r="A94" s="88" t="s">
        <v>290</v>
      </c>
      <c r="B94" s="144">
        <f t="shared" si="167"/>
        <v>716620</v>
      </c>
      <c r="C94" s="144">
        <v>0</v>
      </c>
      <c r="D94" s="144">
        <v>0</v>
      </c>
      <c r="E94" s="144">
        <v>0</v>
      </c>
      <c r="F94" s="144">
        <v>0</v>
      </c>
      <c r="G94" s="144">
        <v>0</v>
      </c>
      <c r="H94" s="144">
        <v>0</v>
      </c>
      <c r="I94" s="144">
        <v>0</v>
      </c>
      <c r="J94" s="144">
        <v>0</v>
      </c>
      <c r="K94" s="144">
        <v>0</v>
      </c>
      <c r="L94" s="144">
        <v>0</v>
      </c>
      <c r="M94" s="144">
        <v>0</v>
      </c>
      <c r="N94" s="144">
        <v>716620</v>
      </c>
      <c r="O94" s="91"/>
      <c r="P94" s="144">
        <f t="shared" si="168"/>
        <v>6329214</v>
      </c>
      <c r="Q94" s="144">
        <v>501058</v>
      </c>
      <c r="R94" s="144">
        <v>849187</v>
      </c>
      <c r="S94" s="144">
        <v>449465</v>
      </c>
      <c r="T94" s="144">
        <v>269633</v>
      </c>
      <c r="U94" s="144">
        <v>273393</v>
      </c>
      <c r="V94" s="144">
        <v>406635</v>
      </c>
      <c r="W94" s="144">
        <v>736829</v>
      </c>
      <c r="X94" s="144">
        <v>439958</v>
      </c>
      <c r="Y94" s="144">
        <v>686111</v>
      </c>
      <c r="Z94" s="144">
        <v>479359</v>
      </c>
      <c r="AA94" s="144">
        <v>464351</v>
      </c>
      <c r="AB94" s="144">
        <v>773235</v>
      </c>
      <c r="AC94" s="91"/>
      <c r="AD94" s="144">
        <f>SUM(AE94:AP94)</f>
        <v>0</v>
      </c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91"/>
      <c r="AR94" s="337">
        <f>SUM(AS94:BD94)</f>
        <v>7109620.1699999999</v>
      </c>
      <c r="AS94" s="144">
        <v>2175911</v>
      </c>
      <c r="AT94" s="144">
        <v>840541.08</v>
      </c>
      <c r="AU94" s="144"/>
      <c r="AV94" s="144">
        <v>25210</v>
      </c>
      <c r="AW94" s="144">
        <v>654411</v>
      </c>
      <c r="AX94" s="144">
        <v>594966</v>
      </c>
      <c r="AY94" s="144"/>
      <c r="AZ94" s="144">
        <v>350084</v>
      </c>
      <c r="BA94" s="144">
        <v>265394</v>
      </c>
      <c r="BB94" s="144">
        <v>825507.09</v>
      </c>
      <c r="BC94" s="144"/>
      <c r="BD94" s="144">
        <v>1377596</v>
      </c>
      <c r="BE94" s="94"/>
      <c r="BF94" s="144">
        <v>0</v>
      </c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  <c r="BT94" s="144">
        <f t="shared" si="169"/>
        <v>0</v>
      </c>
      <c r="BU94" s="144"/>
      <c r="BV94" s="144"/>
      <c r="BW94" s="144"/>
      <c r="BX94" s="144"/>
      <c r="BY94" s="144"/>
      <c r="BZ94" s="144"/>
      <c r="CB94" s="144">
        <v>0</v>
      </c>
    </row>
    <row r="95" spans="1:80" hidden="1">
      <c r="A95" s="88" t="s">
        <v>291</v>
      </c>
      <c r="B95" s="144">
        <f t="shared" si="167"/>
        <v>0</v>
      </c>
      <c r="C95" s="144">
        <f t="shared" ref="C95:N95" si="172">SUM(E95:P95)</f>
        <v>0</v>
      </c>
      <c r="D95" s="144">
        <f t="shared" si="172"/>
        <v>0</v>
      </c>
      <c r="E95" s="144">
        <f t="shared" si="172"/>
        <v>0</v>
      </c>
      <c r="F95" s="144">
        <f t="shared" si="172"/>
        <v>0</v>
      </c>
      <c r="G95" s="144">
        <f t="shared" si="172"/>
        <v>0</v>
      </c>
      <c r="H95" s="144">
        <f t="shared" si="172"/>
        <v>0</v>
      </c>
      <c r="I95" s="144">
        <f t="shared" si="172"/>
        <v>0</v>
      </c>
      <c r="J95" s="144">
        <f t="shared" si="172"/>
        <v>0</v>
      </c>
      <c r="K95" s="144">
        <f t="shared" si="172"/>
        <v>0</v>
      </c>
      <c r="L95" s="144">
        <f t="shared" si="172"/>
        <v>0</v>
      </c>
      <c r="M95" s="144">
        <f t="shared" si="172"/>
        <v>0</v>
      </c>
      <c r="N95" s="144">
        <f t="shared" si="172"/>
        <v>0</v>
      </c>
      <c r="O95" s="91"/>
      <c r="P95" s="144">
        <f t="shared" si="168"/>
        <v>0</v>
      </c>
      <c r="Q95" s="144">
        <f t="shared" ref="Q95:AD100" si="173">SUM(S95:AC95)</f>
        <v>0</v>
      </c>
      <c r="R95" s="144">
        <f t="shared" si="173"/>
        <v>0</v>
      </c>
      <c r="S95" s="144">
        <f t="shared" si="173"/>
        <v>0</v>
      </c>
      <c r="T95" s="144">
        <f t="shared" si="173"/>
        <v>0</v>
      </c>
      <c r="U95" s="144">
        <f t="shared" si="173"/>
        <v>0</v>
      </c>
      <c r="V95" s="144">
        <f t="shared" si="173"/>
        <v>0</v>
      </c>
      <c r="W95" s="144">
        <f t="shared" si="173"/>
        <v>0</v>
      </c>
      <c r="X95" s="144">
        <f t="shared" si="173"/>
        <v>0</v>
      </c>
      <c r="Y95" s="144">
        <f t="shared" si="173"/>
        <v>0</v>
      </c>
      <c r="Z95" s="144">
        <f t="shared" si="173"/>
        <v>0</v>
      </c>
      <c r="AA95" s="144">
        <f t="shared" si="173"/>
        <v>0</v>
      </c>
      <c r="AB95" s="144">
        <f t="shared" si="173"/>
        <v>0</v>
      </c>
      <c r="AC95" s="91"/>
      <c r="AD95" s="144">
        <f t="shared" si="173"/>
        <v>0</v>
      </c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91"/>
      <c r="AR95" s="337">
        <f t="shared" ref="AR95" si="174">SUM(AS95:BD95)</f>
        <v>0</v>
      </c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94"/>
      <c r="BF95" s="144">
        <v>0</v>
      </c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94"/>
      <c r="BT95" s="144">
        <f t="shared" si="169"/>
        <v>0</v>
      </c>
      <c r="BU95" s="144"/>
      <c r="BV95" s="144"/>
      <c r="BW95" s="144"/>
      <c r="BX95" s="144"/>
      <c r="BY95" s="144"/>
      <c r="BZ95" s="144"/>
      <c r="CA95" s="94"/>
      <c r="CB95" s="144">
        <v>0</v>
      </c>
    </row>
    <row r="96" spans="1:80" ht="13.5" customHeight="1">
      <c r="A96" s="88" t="s">
        <v>292</v>
      </c>
      <c r="B96" s="144">
        <f t="shared" si="167"/>
        <v>0</v>
      </c>
      <c r="C96" s="144">
        <v>0</v>
      </c>
      <c r="D96" s="144">
        <v>0</v>
      </c>
      <c r="E96" s="144">
        <v>0</v>
      </c>
      <c r="F96" s="144">
        <v>0</v>
      </c>
      <c r="G96" s="144">
        <v>0</v>
      </c>
      <c r="H96" s="144">
        <v>0</v>
      </c>
      <c r="I96" s="144">
        <v>0</v>
      </c>
      <c r="J96" s="144">
        <v>0</v>
      </c>
      <c r="K96" s="144">
        <v>0</v>
      </c>
      <c r="L96" s="144">
        <v>0</v>
      </c>
      <c r="M96" s="144">
        <v>0</v>
      </c>
      <c r="N96" s="144">
        <v>0</v>
      </c>
      <c r="O96" s="91"/>
      <c r="P96" s="144">
        <f t="shared" si="168"/>
        <v>219265</v>
      </c>
      <c r="Q96" s="144">
        <v>27484</v>
      </c>
      <c r="R96" s="144">
        <v>59986</v>
      </c>
      <c r="S96" s="144">
        <v>0</v>
      </c>
      <c r="T96" s="144">
        <v>33172</v>
      </c>
      <c r="U96" s="144">
        <v>0</v>
      </c>
      <c r="V96" s="144">
        <v>0</v>
      </c>
      <c r="W96" s="144">
        <v>30939</v>
      </c>
      <c r="X96" s="144">
        <v>0</v>
      </c>
      <c r="Y96" s="144">
        <v>24646</v>
      </c>
      <c r="Z96" s="144">
        <v>0</v>
      </c>
      <c r="AA96" s="144">
        <v>43038</v>
      </c>
      <c r="AB96" s="144">
        <v>0</v>
      </c>
      <c r="AC96" s="91"/>
      <c r="AD96" s="144">
        <f>SUM(AE96:AP96)</f>
        <v>0</v>
      </c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91"/>
      <c r="AR96" s="337">
        <f>SUM(AS96:BD96)</f>
        <v>39989</v>
      </c>
      <c r="AS96" s="144"/>
      <c r="AT96" s="144">
        <v>26974</v>
      </c>
      <c r="AU96" s="144">
        <v>13015</v>
      </c>
      <c r="AV96" s="144"/>
      <c r="AW96" s="144"/>
      <c r="AX96" s="144"/>
      <c r="AY96" s="144"/>
      <c r="AZ96" s="144"/>
      <c r="BA96" s="144"/>
      <c r="BB96" s="144"/>
      <c r="BC96" s="144"/>
      <c r="BD96" s="144"/>
      <c r="BE96" s="94"/>
      <c r="BF96" s="144">
        <f t="shared" ref="BF96" si="175">SUM(BG96:BR96)</f>
        <v>0</v>
      </c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44"/>
      <c r="BS96" s="94"/>
      <c r="BT96" s="144">
        <f t="shared" si="169"/>
        <v>0</v>
      </c>
      <c r="BU96" s="144"/>
      <c r="BV96" s="144"/>
      <c r="BW96" s="144"/>
      <c r="BX96" s="144"/>
      <c r="BY96" s="144"/>
      <c r="BZ96" s="144"/>
      <c r="CB96" s="144">
        <v>0</v>
      </c>
    </row>
    <row r="97" spans="1:80">
      <c r="A97" s="88" t="s">
        <v>293</v>
      </c>
      <c r="B97" s="144">
        <f t="shared" si="167"/>
        <v>0</v>
      </c>
      <c r="C97" s="144">
        <v>0</v>
      </c>
      <c r="D97" s="144">
        <v>0</v>
      </c>
      <c r="E97" s="144">
        <v>0</v>
      </c>
      <c r="F97" s="144">
        <v>0</v>
      </c>
      <c r="G97" s="144">
        <v>0</v>
      </c>
      <c r="H97" s="144">
        <v>0</v>
      </c>
      <c r="I97" s="144">
        <v>0</v>
      </c>
      <c r="J97" s="144">
        <v>0</v>
      </c>
      <c r="K97" s="144">
        <v>0</v>
      </c>
      <c r="L97" s="144">
        <v>0</v>
      </c>
      <c r="M97" s="144">
        <v>0</v>
      </c>
      <c r="N97" s="144">
        <v>0</v>
      </c>
      <c r="O97" s="91"/>
      <c r="P97" s="144">
        <f t="shared" si="168"/>
        <v>0</v>
      </c>
      <c r="Q97" s="144">
        <v>0</v>
      </c>
      <c r="R97" s="144">
        <v>0</v>
      </c>
      <c r="S97" s="144">
        <v>0</v>
      </c>
      <c r="T97" s="144">
        <v>0</v>
      </c>
      <c r="U97" s="144">
        <v>0</v>
      </c>
      <c r="V97" s="144">
        <v>0</v>
      </c>
      <c r="W97" s="144">
        <v>0</v>
      </c>
      <c r="X97" s="144">
        <v>0</v>
      </c>
      <c r="Y97" s="144">
        <v>0</v>
      </c>
      <c r="Z97" s="144">
        <v>0</v>
      </c>
      <c r="AA97" s="144">
        <v>0</v>
      </c>
      <c r="AB97" s="144">
        <v>0</v>
      </c>
      <c r="AC97" s="91"/>
      <c r="AD97" s="144">
        <f>SUM(AE97:AP97)</f>
        <v>0</v>
      </c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91"/>
      <c r="AR97" s="337">
        <f>SUM(AS97:BD97)</f>
        <v>91650</v>
      </c>
      <c r="AS97" s="144"/>
      <c r="AT97" s="144">
        <v>42026</v>
      </c>
      <c r="AU97" s="144">
        <v>0</v>
      </c>
      <c r="AV97" s="144"/>
      <c r="AW97" s="144"/>
      <c r="AX97" s="144"/>
      <c r="AY97" s="144">
        <v>0</v>
      </c>
      <c r="AZ97" s="144">
        <v>0</v>
      </c>
      <c r="BA97" s="144">
        <v>0</v>
      </c>
      <c r="BB97" s="144">
        <v>0</v>
      </c>
      <c r="BC97" s="144">
        <v>0</v>
      </c>
      <c r="BD97" s="144">
        <v>49624</v>
      </c>
      <c r="BE97" s="94"/>
      <c r="BF97" s="144">
        <v>245425</v>
      </c>
      <c r="BG97" s="144">
        <v>41989</v>
      </c>
      <c r="BH97" s="144"/>
      <c r="BI97" s="144"/>
      <c r="BJ97" s="144">
        <v>83978</v>
      </c>
      <c r="BK97" s="144"/>
      <c r="BL97" s="144">
        <v>16432</v>
      </c>
      <c r="BM97" s="144"/>
      <c r="BN97" s="144"/>
      <c r="BO97" s="144"/>
      <c r="BP97" s="144">
        <v>41989</v>
      </c>
      <c r="BQ97" s="144">
        <v>41989</v>
      </c>
      <c r="BR97" s="144">
        <v>19048</v>
      </c>
      <c r="BS97" s="94"/>
      <c r="BT97" s="144">
        <f t="shared" si="169"/>
        <v>0</v>
      </c>
      <c r="BU97" s="144"/>
      <c r="BV97" s="144"/>
      <c r="BW97" s="144"/>
      <c r="BX97" s="144"/>
      <c r="BY97" s="144"/>
      <c r="BZ97" s="144"/>
      <c r="CA97" s="94"/>
      <c r="CB97" s="144"/>
    </row>
    <row r="98" spans="1:80">
      <c r="A98" s="88" t="s">
        <v>612</v>
      </c>
      <c r="B98" s="144">
        <f t="shared" si="167"/>
        <v>0</v>
      </c>
      <c r="C98" s="144">
        <v>0</v>
      </c>
      <c r="D98" s="144">
        <v>0</v>
      </c>
      <c r="E98" s="144">
        <v>0</v>
      </c>
      <c r="F98" s="144">
        <v>0</v>
      </c>
      <c r="G98" s="144">
        <v>0</v>
      </c>
      <c r="H98" s="144">
        <v>0</v>
      </c>
      <c r="I98" s="144">
        <v>0</v>
      </c>
      <c r="J98" s="144">
        <v>0</v>
      </c>
      <c r="K98" s="144">
        <v>0</v>
      </c>
      <c r="L98" s="144">
        <v>0</v>
      </c>
      <c r="M98" s="144">
        <v>0</v>
      </c>
      <c r="N98" s="144">
        <v>0</v>
      </c>
      <c r="O98" s="91"/>
      <c r="P98" s="144">
        <f t="shared" si="168"/>
        <v>182400</v>
      </c>
      <c r="Q98" s="144">
        <v>0</v>
      </c>
      <c r="R98" s="144">
        <v>0</v>
      </c>
      <c r="S98" s="144">
        <v>144000</v>
      </c>
      <c r="T98" s="144">
        <v>0</v>
      </c>
      <c r="U98" s="144">
        <v>0</v>
      </c>
      <c r="V98" s="144">
        <v>38400</v>
      </c>
      <c r="W98" s="144"/>
      <c r="X98" s="144"/>
      <c r="Y98" s="144"/>
      <c r="Z98" s="144"/>
      <c r="AA98" s="144"/>
      <c r="AB98" s="144"/>
      <c r="AC98" s="91"/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91"/>
      <c r="AR98" s="337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94"/>
      <c r="BF98" s="144"/>
      <c r="BG98" s="144"/>
      <c r="BH98" s="144"/>
      <c r="BI98" s="144"/>
      <c r="BJ98" s="144"/>
      <c r="BK98" s="144"/>
      <c r="BL98" s="144"/>
      <c r="BM98" s="144"/>
      <c r="BN98" s="144"/>
      <c r="BO98" s="144"/>
      <c r="BP98" s="144"/>
      <c r="BQ98" s="144"/>
      <c r="BR98" s="144"/>
      <c r="BT98" s="144"/>
      <c r="BU98" s="144"/>
      <c r="BV98" s="144"/>
      <c r="BW98" s="144"/>
      <c r="BX98" s="144"/>
      <c r="BY98" s="144"/>
      <c r="BZ98" s="144"/>
      <c r="CB98" s="144"/>
    </row>
    <row r="99" spans="1:80" ht="12" customHeight="1">
      <c r="A99" s="88" t="s">
        <v>294</v>
      </c>
      <c r="B99" s="144">
        <f t="shared" si="167"/>
        <v>191596</v>
      </c>
      <c r="C99" s="144">
        <v>0</v>
      </c>
      <c r="D99" s="144">
        <v>0</v>
      </c>
      <c r="E99" s="144">
        <v>0</v>
      </c>
      <c r="F99" s="144">
        <v>0</v>
      </c>
      <c r="G99" s="144">
        <v>0</v>
      </c>
      <c r="H99" s="144">
        <v>0</v>
      </c>
      <c r="I99" s="144">
        <v>0</v>
      </c>
      <c r="J99" s="144">
        <v>0</v>
      </c>
      <c r="K99" s="144">
        <v>0</v>
      </c>
      <c r="L99" s="144">
        <v>0</v>
      </c>
      <c r="M99" s="144">
        <v>0</v>
      </c>
      <c r="N99" s="144">
        <v>191596</v>
      </c>
      <c r="O99" s="91"/>
      <c r="P99" s="144">
        <f t="shared" si="168"/>
        <v>2408683</v>
      </c>
      <c r="Q99" s="144">
        <v>424197</v>
      </c>
      <c r="R99" s="144">
        <v>176470</v>
      </c>
      <c r="S99" s="144">
        <v>180669</v>
      </c>
      <c r="T99" s="144">
        <v>176470</v>
      </c>
      <c r="U99" s="144">
        <v>180669</v>
      </c>
      <c r="V99" s="144">
        <v>178734</v>
      </c>
      <c r="W99" s="144">
        <v>180669</v>
      </c>
      <c r="X99" s="144">
        <v>177865</v>
      </c>
      <c r="Y99" s="144">
        <v>352940</v>
      </c>
      <c r="Z99" s="144">
        <v>0</v>
      </c>
      <c r="AA99" s="144">
        <v>190000</v>
      </c>
      <c r="AB99" s="144">
        <v>190000</v>
      </c>
      <c r="AC99" s="91"/>
      <c r="AD99" s="144">
        <f>SUM(AE99:AP100)</f>
        <v>0</v>
      </c>
      <c r="AE99" s="144"/>
      <c r="AF99" s="144"/>
      <c r="AG99" s="144"/>
      <c r="AH99" s="144"/>
      <c r="AI99" s="144"/>
      <c r="AJ99" s="144"/>
      <c r="AK99" s="144"/>
      <c r="AL99" s="144"/>
      <c r="AM99" s="144"/>
      <c r="AN99" s="144"/>
      <c r="AO99" s="144"/>
      <c r="AP99" s="144"/>
      <c r="AQ99" s="91"/>
      <c r="AR99" s="337">
        <f>SUM(AS99:BD99)</f>
        <v>2205046.14</v>
      </c>
      <c r="AS99" s="144">
        <v>340000</v>
      </c>
      <c r="AT99" s="144">
        <v>170000</v>
      </c>
      <c r="AU99" s="144">
        <v>0</v>
      </c>
      <c r="AV99" s="144">
        <v>170000</v>
      </c>
      <c r="AW99" s="144">
        <v>85582.14</v>
      </c>
      <c r="AX99" s="144">
        <v>170000</v>
      </c>
      <c r="AY99" s="144">
        <v>170000</v>
      </c>
      <c r="AZ99" s="144">
        <v>170000</v>
      </c>
      <c r="BA99" s="144">
        <v>170000</v>
      </c>
      <c r="BB99" s="144">
        <v>170000</v>
      </c>
      <c r="BC99" s="144">
        <v>217164</v>
      </c>
      <c r="BD99" s="144">
        <v>372300</v>
      </c>
      <c r="BE99" s="94"/>
      <c r="BF99" s="144">
        <v>1641844</v>
      </c>
      <c r="BG99" s="144">
        <v>170002</v>
      </c>
      <c r="BH99" s="144"/>
      <c r="BI99" s="144">
        <v>490000</v>
      </c>
      <c r="BJ99" s="144"/>
      <c r="BK99" s="144">
        <v>168044</v>
      </c>
      <c r="BL99" s="144">
        <v>126055</v>
      </c>
      <c r="BM99" s="144">
        <v>126055</v>
      </c>
      <c r="BN99" s="144">
        <v>183525</v>
      </c>
      <c r="BO99" s="144">
        <v>126055</v>
      </c>
      <c r="BP99" s="144"/>
      <c r="BQ99" s="144">
        <v>126055</v>
      </c>
      <c r="BR99" s="144">
        <v>126053</v>
      </c>
      <c r="BT99" s="144">
        <f t="shared" si="169"/>
        <v>0</v>
      </c>
      <c r="BU99" s="144"/>
      <c r="BV99" s="144"/>
      <c r="BW99" s="144"/>
      <c r="BX99" s="144"/>
      <c r="BY99" s="144"/>
      <c r="BZ99" s="144"/>
      <c r="CB99" s="144">
        <v>0</v>
      </c>
    </row>
    <row r="100" spans="1:80" ht="11.45" hidden="1" customHeight="1">
      <c r="A100" s="88" t="s">
        <v>295</v>
      </c>
      <c r="B100" s="144">
        <f t="shared" si="167"/>
        <v>0</v>
      </c>
      <c r="C100" s="144">
        <f t="shared" ref="C100:N101" si="176">SUM(E100:P100)</f>
        <v>0</v>
      </c>
      <c r="D100" s="144">
        <f t="shared" si="176"/>
        <v>0</v>
      </c>
      <c r="E100" s="144">
        <f t="shared" si="176"/>
        <v>0</v>
      </c>
      <c r="F100" s="144">
        <f t="shared" si="176"/>
        <v>0</v>
      </c>
      <c r="G100" s="144">
        <f t="shared" si="176"/>
        <v>0</v>
      </c>
      <c r="H100" s="144">
        <f t="shared" si="176"/>
        <v>0</v>
      </c>
      <c r="I100" s="144">
        <f t="shared" si="176"/>
        <v>0</v>
      </c>
      <c r="J100" s="144">
        <f t="shared" si="176"/>
        <v>0</v>
      </c>
      <c r="K100" s="144">
        <f t="shared" si="176"/>
        <v>0</v>
      </c>
      <c r="L100" s="144">
        <f t="shared" si="176"/>
        <v>0</v>
      </c>
      <c r="M100" s="144">
        <f t="shared" si="176"/>
        <v>0</v>
      </c>
      <c r="N100" s="144">
        <f t="shared" si="176"/>
        <v>0</v>
      </c>
      <c r="O100" s="91"/>
      <c r="P100" s="144">
        <f t="shared" si="168"/>
        <v>0</v>
      </c>
      <c r="Q100" s="144">
        <f t="shared" si="173"/>
        <v>0</v>
      </c>
      <c r="R100" s="144">
        <f t="shared" si="173"/>
        <v>0</v>
      </c>
      <c r="S100" s="144">
        <f t="shared" si="173"/>
        <v>0</v>
      </c>
      <c r="T100" s="144">
        <f t="shared" si="173"/>
        <v>0</v>
      </c>
      <c r="U100" s="144">
        <f t="shared" si="173"/>
        <v>0</v>
      </c>
      <c r="V100" s="144">
        <f t="shared" si="173"/>
        <v>0</v>
      </c>
      <c r="W100" s="144">
        <f t="shared" si="173"/>
        <v>0</v>
      </c>
      <c r="X100" s="144">
        <f t="shared" si="173"/>
        <v>0</v>
      </c>
      <c r="Y100" s="144">
        <f t="shared" si="173"/>
        <v>0</v>
      </c>
      <c r="Z100" s="144">
        <f t="shared" si="173"/>
        <v>0</v>
      </c>
      <c r="AA100" s="144">
        <f t="shared" si="173"/>
        <v>0</v>
      </c>
      <c r="AB100" s="144">
        <f t="shared" si="173"/>
        <v>0</v>
      </c>
      <c r="AC100" s="91"/>
      <c r="AD100" s="144">
        <f t="shared" si="173"/>
        <v>0</v>
      </c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91"/>
      <c r="AR100" s="144"/>
      <c r="AS100" s="144">
        <f t="shared" ref="AS100:BD103" si="177">SUM(BA100:BF100)</f>
        <v>0</v>
      </c>
      <c r="AT100" s="144">
        <f t="shared" si="177"/>
        <v>0</v>
      </c>
      <c r="AU100" s="144">
        <f t="shared" si="177"/>
        <v>0</v>
      </c>
      <c r="AV100" s="144">
        <f t="shared" si="177"/>
        <v>0</v>
      </c>
      <c r="AW100" s="144">
        <f t="shared" si="177"/>
        <v>0</v>
      </c>
      <c r="AX100" s="144">
        <f t="shared" si="177"/>
        <v>0</v>
      </c>
      <c r="AY100" s="144">
        <f t="shared" si="177"/>
        <v>0</v>
      </c>
      <c r="AZ100" s="144">
        <f t="shared" si="177"/>
        <v>0</v>
      </c>
      <c r="BA100" s="144">
        <f t="shared" si="177"/>
        <v>0</v>
      </c>
      <c r="BB100" s="144">
        <f t="shared" si="177"/>
        <v>0</v>
      </c>
      <c r="BC100" s="144">
        <f t="shared" si="177"/>
        <v>0</v>
      </c>
      <c r="BD100" s="144">
        <f t="shared" si="177"/>
        <v>0</v>
      </c>
      <c r="BE100" s="94"/>
      <c r="BF100" s="144">
        <f t="shared" ref="BF100:BF103" si="178">SUM(BM100:BR100)</f>
        <v>0</v>
      </c>
      <c r="BG100" s="144"/>
      <c r="BH100" s="144"/>
      <c r="BI100" s="144"/>
      <c r="BJ100" s="144"/>
      <c r="BK100" s="144"/>
      <c r="BL100" s="144"/>
      <c r="BM100" s="144"/>
      <c r="BN100" s="144"/>
      <c r="BO100" s="144"/>
      <c r="BP100" s="144"/>
      <c r="BQ100" s="144"/>
      <c r="BR100" s="144"/>
      <c r="BT100" s="144">
        <f t="shared" si="169"/>
        <v>0</v>
      </c>
      <c r="BU100" s="144"/>
      <c r="BV100" s="144"/>
      <c r="BW100" s="144"/>
      <c r="BX100" s="144"/>
      <c r="BY100" s="144"/>
      <c r="BZ100" s="144"/>
      <c r="CB100" s="144">
        <v>0</v>
      </c>
    </row>
    <row r="101" spans="1:80" ht="12.75" thickBot="1">
      <c r="A101" s="88" t="s">
        <v>296</v>
      </c>
      <c r="B101" s="173">
        <f t="shared" si="167"/>
        <v>0</v>
      </c>
      <c r="C101" s="173">
        <f t="shared" si="176"/>
        <v>0</v>
      </c>
      <c r="D101" s="173">
        <f t="shared" si="176"/>
        <v>0</v>
      </c>
      <c r="E101" s="173">
        <f t="shared" si="176"/>
        <v>0</v>
      </c>
      <c r="F101" s="173">
        <f t="shared" si="176"/>
        <v>0</v>
      </c>
      <c r="G101" s="173">
        <f t="shared" si="176"/>
        <v>0</v>
      </c>
      <c r="H101" s="173">
        <f t="shared" si="176"/>
        <v>0</v>
      </c>
      <c r="I101" s="173">
        <f t="shared" si="176"/>
        <v>0</v>
      </c>
      <c r="J101" s="173">
        <f t="shared" si="176"/>
        <v>0</v>
      </c>
      <c r="K101" s="173">
        <f t="shared" si="176"/>
        <v>0</v>
      </c>
      <c r="L101" s="173">
        <f t="shared" si="176"/>
        <v>0</v>
      </c>
      <c r="M101" s="173">
        <f t="shared" si="176"/>
        <v>0</v>
      </c>
      <c r="N101" s="173">
        <f t="shared" si="176"/>
        <v>0</v>
      </c>
      <c r="O101" s="91"/>
      <c r="P101" s="173">
        <f t="shared" si="168"/>
        <v>0</v>
      </c>
      <c r="Q101" s="173">
        <v>0</v>
      </c>
      <c r="R101" s="173">
        <v>0</v>
      </c>
      <c r="S101" s="173">
        <v>0</v>
      </c>
      <c r="T101" s="173">
        <v>0</v>
      </c>
      <c r="U101" s="173">
        <v>0</v>
      </c>
      <c r="V101" s="173">
        <v>0</v>
      </c>
      <c r="W101" s="173">
        <v>0</v>
      </c>
      <c r="X101" s="173">
        <v>0</v>
      </c>
      <c r="Y101" s="173">
        <v>0</v>
      </c>
      <c r="Z101" s="173">
        <v>0</v>
      </c>
      <c r="AA101" s="173">
        <v>0</v>
      </c>
      <c r="AB101" s="173">
        <v>0</v>
      </c>
      <c r="AC101" s="91"/>
      <c r="AD101" s="173">
        <f>SUM(AE101:AP101)</f>
        <v>0</v>
      </c>
      <c r="AE101" s="173"/>
      <c r="AF101" s="173"/>
      <c r="AG101" s="173"/>
      <c r="AH101" s="173"/>
      <c r="AI101" s="173"/>
      <c r="AJ101" s="173"/>
      <c r="AK101" s="173"/>
      <c r="AL101" s="173"/>
      <c r="AM101" s="173"/>
      <c r="AN101" s="173"/>
      <c r="AO101" s="173"/>
      <c r="AP101" s="173"/>
      <c r="AQ101" s="91"/>
      <c r="AR101" s="173">
        <v>230000</v>
      </c>
      <c r="AS101" s="173">
        <f t="shared" si="177"/>
        <v>0</v>
      </c>
      <c r="AT101" s="173">
        <f t="shared" si="177"/>
        <v>0</v>
      </c>
      <c r="AU101" s="173">
        <v>0</v>
      </c>
      <c r="AV101" s="173">
        <f t="shared" si="177"/>
        <v>0</v>
      </c>
      <c r="AW101" s="173">
        <v>230000</v>
      </c>
      <c r="AX101" s="173"/>
      <c r="AY101" s="173">
        <f t="shared" si="177"/>
        <v>0</v>
      </c>
      <c r="AZ101" s="173">
        <f t="shared" si="177"/>
        <v>0</v>
      </c>
      <c r="BA101" s="173">
        <f t="shared" si="177"/>
        <v>0</v>
      </c>
      <c r="BB101" s="173">
        <f t="shared" si="177"/>
        <v>0</v>
      </c>
      <c r="BC101" s="173">
        <f t="shared" si="177"/>
        <v>0</v>
      </c>
      <c r="BD101" s="173">
        <f t="shared" si="177"/>
        <v>0</v>
      </c>
      <c r="BE101" s="94"/>
      <c r="BF101" s="173">
        <f t="shared" si="178"/>
        <v>0</v>
      </c>
      <c r="BG101" s="173"/>
      <c r="BH101" s="173"/>
      <c r="BI101" s="173">
        <v>0</v>
      </c>
      <c r="BJ101" s="173">
        <v>0</v>
      </c>
      <c r="BK101" s="173">
        <v>0</v>
      </c>
      <c r="BL101" s="173">
        <v>0</v>
      </c>
      <c r="BM101" s="173">
        <v>0</v>
      </c>
      <c r="BN101" s="173"/>
      <c r="BO101" s="173"/>
      <c r="BP101" s="173"/>
      <c r="BQ101" s="173"/>
      <c r="BR101" s="173"/>
      <c r="BT101" s="173">
        <f t="shared" si="169"/>
        <v>0</v>
      </c>
      <c r="BU101" s="173">
        <v>0</v>
      </c>
      <c r="BV101" s="173"/>
      <c r="BW101" s="173"/>
      <c r="BX101" s="173"/>
      <c r="BY101" s="173"/>
      <c r="BZ101" s="173"/>
      <c r="CB101" s="173">
        <v>0</v>
      </c>
    </row>
    <row r="102" spans="1:80" ht="15" hidden="1" customHeight="1">
      <c r="A102" s="88" t="s">
        <v>297</v>
      </c>
      <c r="B102" s="72">
        <f>SUM(AC102:AJ102)</f>
        <v>0</v>
      </c>
      <c r="C102" s="72">
        <f t="shared" ref="C102:N104" si="179">SUM(S102:Z102)</f>
        <v>0</v>
      </c>
      <c r="D102" s="72">
        <f t="shared" si="179"/>
        <v>0</v>
      </c>
      <c r="E102" s="72">
        <f t="shared" si="179"/>
        <v>0</v>
      </c>
      <c r="F102" s="72">
        <f t="shared" si="179"/>
        <v>0</v>
      </c>
      <c r="G102" s="72">
        <f t="shared" si="179"/>
        <v>0</v>
      </c>
      <c r="H102" s="72">
        <f t="shared" si="179"/>
        <v>0</v>
      </c>
      <c r="I102" s="72">
        <f t="shared" si="179"/>
        <v>0</v>
      </c>
      <c r="J102" s="72">
        <f t="shared" si="179"/>
        <v>0</v>
      </c>
      <c r="K102" s="72">
        <f t="shared" si="179"/>
        <v>0</v>
      </c>
      <c r="L102" s="72">
        <f t="shared" si="179"/>
        <v>0</v>
      </c>
      <c r="M102" s="72">
        <f t="shared" si="179"/>
        <v>0</v>
      </c>
      <c r="N102" s="72">
        <f t="shared" si="179"/>
        <v>0</v>
      </c>
      <c r="O102" s="91"/>
      <c r="P102" s="72">
        <f>SUM(AE102:AL102)</f>
        <v>0</v>
      </c>
      <c r="Q102" s="72">
        <f t="shared" ref="Q102:AB104" si="180">SUM(V102:AC102)</f>
        <v>0</v>
      </c>
      <c r="R102" s="72">
        <f t="shared" si="180"/>
        <v>0</v>
      </c>
      <c r="S102" s="72">
        <f t="shared" si="180"/>
        <v>0</v>
      </c>
      <c r="T102" s="72">
        <f t="shared" si="180"/>
        <v>0</v>
      </c>
      <c r="U102" s="72">
        <f t="shared" si="180"/>
        <v>0</v>
      </c>
      <c r="V102" s="72">
        <f t="shared" si="180"/>
        <v>0</v>
      </c>
      <c r="W102" s="72">
        <f t="shared" si="180"/>
        <v>0</v>
      </c>
      <c r="X102" s="72">
        <f t="shared" si="180"/>
        <v>0</v>
      </c>
      <c r="Y102" s="72">
        <f t="shared" si="180"/>
        <v>0</v>
      </c>
      <c r="Z102" s="72">
        <f t="shared" si="180"/>
        <v>0</v>
      </c>
      <c r="AA102" s="72">
        <f t="shared" si="180"/>
        <v>0</v>
      </c>
      <c r="AB102" s="72">
        <f t="shared" si="180"/>
        <v>0</v>
      </c>
      <c r="AC102" s="91"/>
      <c r="AD102" s="72">
        <f>SUM(AI102:AP102)</f>
        <v>0</v>
      </c>
      <c r="AE102" s="76"/>
      <c r="AF102" s="76"/>
      <c r="AG102" s="76"/>
      <c r="AH102" s="76"/>
      <c r="AI102" s="76"/>
      <c r="AJ102" s="76"/>
      <c r="AK102" s="76">
        <f t="shared" ref="AK102:AP103" si="181">SUM(AS102:AX102)</f>
        <v>0</v>
      </c>
      <c r="AL102" s="76">
        <f t="shared" si="181"/>
        <v>0</v>
      </c>
      <c r="AM102" s="76">
        <f t="shared" si="181"/>
        <v>0</v>
      </c>
      <c r="AN102" s="76">
        <f t="shared" si="181"/>
        <v>0</v>
      </c>
      <c r="AO102" s="76">
        <f t="shared" si="181"/>
        <v>0</v>
      </c>
      <c r="AP102" s="76">
        <f t="shared" si="181"/>
        <v>0</v>
      </c>
      <c r="AQ102" s="91"/>
      <c r="AR102" s="76"/>
      <c r="AS102" s="76">
        <f t="shared" si="177"/>
        <v>0</v>
      </c>
      <c r="AT102" s="76">
        <f t="shared" si="177"/>
        <v>0</v>
      </c>
      <c r="AU102" s="76">
        <f t="shared" si="177"/>
        <v>0</v>
      </c>
      <c r="AV102" s="76">
        <f t="shared" si="177"/>
        <v>0</v>
      </c>
      <c r="AW102" s="76">
        <f t="shared" si="177"/>
        <v>0</v>
      </c>
      <c r="AX102" s="76">
        <f t="shared" si="177"/>
        <v>0</v>
      </c>
      <c r="AY102" s="76">
        <f t="shared" si="177"/>
        <v>0</v>
      </c>
      <c r="AZ102" s="76">
        <f t="shared" si="177"/>
        <v>0</v>
      </c>
      <c r="BA102" s="76">
        <f t="shared" si="177"/>
        <v>0</v>
      </c>
      <c r="BB102" s="76">
        <f t="shared" si="177"/>
        <v>0</v>
      </c>
      <c r="BC102" s="76">
        <f t="shared" si="177"/>
        <v>0</v>
      </c>
      <c r="BD102" s="76">
        <f t="shared" si="177"/>
        <v>0</v>
      </c>
      <c r="BE102" s="94"/>
      <c r="BF102" s="76">
        <f t="shared" si="178"/>
        <v>0</v>
      </c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116"/>
      <c r="BT102" s="116">
        <f t="shared" si="169"/>
        <v>0</v>
      </c>
      <c r="BU102" s="76"/>
      <c r="BV102" s="76"/>
      <c r="BW102" s="76"/>
      <c r="BX102" s="76"/>
      <c r="BY102" s="76"/>
      <c r="BZ102" s="72"/>
      <c r="CB102" s="116"/>
    </row>
    <row r="103" spans="1:80" ht="15" hidden="1" customHeight="1">
      <c r="A103" s="88" t="s">
        <v>298</v>
      </c>
      <c r="B103" s="72">
        <f>SUM(AC103:AJ103)</f>
        <v>0</v>
      </c>
      <c r="C103" s="72">
        <f t="shared" si="179"/>
        <v>0</v>
      </c>
      <c r="D103" s="72">
        <f t="shared" si="179"/>
        <v>0</v>
      </c>
      <c r="E103" s="72">
        <f t="shared" si="179"/>
        <v>0</v>
      </c>
      <c r="F103" s="72">
        <f t="shared" si="179"/>
        <v>0</v>
      </c>
      <c r="G103" s="72">
        <f t="shared" si="179"/>
        <v>0</v>
      </c>
      <c r="H103" s="72">
        <f t="shared" si="179"/>
        <v>0</v>
      </c>
      <c r="I103" s="72">
        <f t="shared" si="179"/>
        <v>0</v>
      </c>
      <c r="J103" s="72">
        <f t="shared" si="179"/>
        <v>0</v>
      </c>
      <c r="K103" s="72">
        <f t="shared" si="179"/>
        <v>0</v>
      </c>
      <c r="L103" s="72">
        <f t="shared" si="179"/>
        <v>0</v>
      </c>
      <c r="M103" s="72">
        <f t="shared" si="179"/>
        <v>0</v>
      </c>
      <c r="N103" s="72">
        <f t="shared" si="179"/>
        <v>0</v>
      </c>
      <c r="O103" s="91"/>
      <c r="P103" s="72">
        <f>SUM(AE103:AL103)</f>
        <v>0</v>
      </c>
      <c r="Q103" s="72">
        <f t="shared" si="180"/>
        <v>0</v>
      </c>
      <c r="R103" s="72">
        <f t="shared" si="180"/>
        <v>0</v>
      </c>
      <c r="S103" s="72">
        <f t="shared" si="180"/>
        <v>0</v>
      </c>
      <c r="T103" s="72">
        <f t="shared" si="180"/>
        <v>0</v>
      </c>
      <c r="U103" s="72">
        <f t="shared" si="180"/>
        <v>0</v>
      </c>
      <c r="V103" s="72">
        <f t="shared" si="180"/>
        <v>0</v>
      </c>
      <c r="W103" s="72">
        <f t="shared" si="180"/>
        <v>0</v>
      </c>
      <c r="X103" s="72">
        <f t="shared" si="180"/>
        <v>0</v>
      </c>
      <c r="Y103" s="72">
        <f t="shared" si="180"/>
        <v>0</v>
      </c>
      <c r="Z103" s="72">
        <f t="shared" si="180"/>
        <v>0</v>
      </c>
      <c r="AA103" s="72">
        <f t="shared" si="180"/>
        <v>0</v>
      </c>
      <c r="AB103" s="72">
        <f t="shared" si="180"/>
        <v>0</v>
      </c>
      <c r="AC103" s="91"/>
      <c r="AD103" s="72">
        <f>SUM(AI103:AP103)</f>
        <v>0</v>
      </c>
      <c r="AE103" s="76"/>
      <c r="AF103" s="76"/>
      <c r="AG103" s="76"/>
      <c r="AH103" s="76"/>
      <c r="AI103" s="76"/>
      <c r="AJ103" s="76"/>
      <c r="AK103" s="76">
        <f t="shared" si="181"/>
        <v>0</v>
      </c>
      <c r="AL103" s="76">
        <f t="shared" si="181"/>
        <v>0</v>
      </c>
      <c r="AM103" s="76">
        <f t="shared" si="181"/>
        <v>0</v>
      </c>
      <c r="AN103" s="76">
        <f t="shared" si="181"/>
        <v>0</v>
      </c>
      <c r="AO103" s="76">
        <f t="shared" si="181"/>
        <v>0</v>
      </c>
      <c r="AP103" s="76">
        <f t="shared" si="181"/>
        <v>0</v>
      </c>
      <c r="AQ103" s="91"/>
      <c r="AR103" s="76"/>
      <c r="AS103" s="76">
        <f t="shared" si="177"/>
        <v>0</v>
      </c>
      <c r="AT103" s="76">
        <f t="shared" si="177"/>
        <v>0</v>
      </c>
      <c r="AU103" s="76">
        <f t="shared" si="177"/>
        <v>0</v>
      </c>
      <c r="AV103" s="76">
        <f t="shared" si="177"/>
        <v>0</v>
      </c>
      <c r="AW103" s="76">
        <f t="shared" si="177"/>
        <v>0</v>
      </c>
      <c r="AX103" s="76">
        <f t="shared" si="177"/>
        <v>0</v>
      </c>
      <c r="AY103" s="76">
        <f t="shared" si="177"/>
        <v>0</v>
      </c>
      <c r="AZ103" s="76">
        <f t="shared" si="177"/>
        <v>0</v>
      </c>
      <c r="BA103" s="76">
        <f t="shared" si="177"/>
        <v>0</v>
      </c>
      <c r="BB103" s="76">
        <f t="shared" si="177"/>
        <v>0</v>
      </c>
      <c r="BC103" s="76">
        <f t="shared" si="177"/>
        <v>0</v>
      </c>
      <c r="BD103" s="76">
        <f t="shared" si="177"/>
        <v>0</v>
      </c>
      <c r="BE103" s="94"/>
      <c r="BF103" s="76">
        <f t="shared" si="178"/>
        <v>0</v>
      </c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106"/>
      <c r="BT103" s="106">
        <f t="shared" si="169"/>
        <v>0</v>
      </c>
      <c r="BU103" s="76"/>
      <c r="BV103" s="76"/>
      <c r="BW103" s="76"/>
      <c r="BX103" s="76"/>
      <c r="BY103" s="76"/>
      <c r="BZ103" s="76"/>
      <c r="CA103" s="94"/>
      <c r="CB103" s="106"/>
    </row>
    <row r="104" spans="1:80" ht="13.5" hidden="1" thickTop="1" thickBot="1">
      <c r="A104" s="64" t="s">
        <v>281</v>
      </c>
      <c r="B104" s="72">
        <f>SUM(AC104:AJ104)</f>
        <v>0</v>
      </c>
      <c r="C104" s="72">
        <f t="shared" si="179"/>
        <v>0</v>
      </c>
      <c r="D104" s="72">
        <f t="shared" si="179"/>
        <v>0</v>
      </c>
      <c r="E104" s="72">
        <f t="shared" si="179"/>
        <v>0</v>
      </c>
      <c r="F104" s="72">
        <f t="shared" si="179"/>
        <v>0</v>
      </c>
      <c r="G104" s="72">
        <f t="shared" si="179"/>
        <v>0</v>
      </c>
      <c r="H104" s="72">
        <f t="shared" si="179"/>
        <v>0</v>
      </c>
      <c r="I104" s="72">
        <f t="shared" si="179"/>
        <v>0</v>
      </c>
      <c r="J104" s="72">
        <f t="shared" si="179"/>
        <v>0</v>
      </c>
      <c r="K104" s="72">
        <f t="shared" si="179"/>
        <v>0</v>
      </c>
      <c r="L104" s="72">
        <f t="shared" si="179"/>
        <v>0</v>
      </c>
      <c r="M104" s="72">
        <f t="shared" si="179"/>
        <v>0</v>
      </c>
      <c r="N104" s="72">
        <f t="shared" si="179"/>
        <v>0</v>
      </c>
      <c r="O104" s="113"/>
      <c r="P104" s="72">
        <f>SUM(AE104:AL104)</f>
        <v>0</v>
      </c>
      <c r="Q104" s="72">
        <f t="shared" si="180"/>
        <v>0</v>
      </c>
      <c r="R104" s="72">
        <f t="shared" si="180"/>
        <v>0</v>
      </c>
      <c r="S104" s="72">
        <f t="shared" si="180"/>
        <v>0</v>
      </c>
      <c r="T104" s="72">
        <f t="shared" si="180"/>
        <v>0</v>
      </c>
      <c r="U104" s="72">
        <f t="shared" si="180"/>
        <v>0</v>
      </c>
      <c r="V104" s="72">
        <f t="shared" si="180"/>
        <v>0</v>
      </c>
      <c r="W104" s="72">
        <f t="shared" si="180"/>
        <v>0</v>
      </c>
      <c r="X104" s="72">
        <f t="shared" si="180"/>
        <v>0</v>
      </c>
      <c r="Y104" s="72">
        <f t="shared" si="180"/>
        <v>0</v>
      </c>
      <c r="Z104" s="72">
        <f t="shared" si="180"/>
        <v>0</v>
      </c>
      <c r="AA104" s="72">
        <f t="shared" si="180"/>
        <v>0</v>
      </c>
      <c r="AB104" s="72">
        <f t="shared" si="180"/>
        <v>0</v>
      </c>
      <c r="AC104" s="113"/>
      <c r="AD104" s="72">
        <f>SUM(AI104:AP104)</f>
        <v>0</v>
      </c>
      <c r="AE104" s="76"/>
      <c r="AF104" s="76"/>
      <c r="AG104" s="76"/>
      <c r="AH104" s="76"/>
      <c r="AI104" s="76"/>
      <c r="AJ104" s="76"/>
      <c r="AK104" s="76">
        <f t="shared" ref="AK104:AP104" si="182">SUM(AT104:AX104)</f>
        <v>0</v>
      </c>
      <c r="AL104" s="76">
        <f t="shared" si="182"/>
        <v>0</v>
      </c>
      <c r="AM104" s="76">
        <f t="shared" si="182"/>
        <v>0</v>
      </c>
      <c r="AN104" s="76">
        <f t="shared" si="182"/>
        <v>0</v>
      </c>
      <c r="AO104" s="76">
        <f t="shared" si="182"/>
        <v>0</v>
      </c>
      <c r="AP104" s="76">
        <f t="shared" si="182"/>
        <v>0</v>
      </c>
      <c r="AQ104" s="113"/>
      <c r="AR104" s="76"/>
      <c r="AS104" s="76">
        <f t="shared" ref="AS104:BD104" si="183">SUM(BB104:BF104)</f>
        <v>0</v>
      </c>
      <c r="AT104" s="76">
        <f t="shared" si="183"/>
        <v>0</v>
      </c>
      <c r="AU104" s="76">
        <f t="shared" si="183"/>
        <v>0</v>
      </c>
      <c r="AV104" s="76">
        <f t="shared" si="183"/>
        <v>0</v>
      </c>
      <c r="AW104" s="76">
        <f t="shared" si="183"/>
        <v>0</v>
      </c>
      <c r="AX104" s="76">
        <f t="shared" si="183"/>
        <v>0</v>
      </c>
      <c r="AY104" s="76">
        <f t="shared" si="183"/>
        <v>0</v>
      </c>
      <c r="AZ104" s="76">
        <f t="shared" si="183"/>
        <v>0</v>
      </c>
      <c r="BA104" s="76">
        <f t="shared" si="183"/>
        <v>0</v>
      </c>
      <c r="BB104" s="76">
        <f t="shared" si="183"/>
        <v>0</v>
      </c>
      <c r="BC104" s="76">
        <f t="shared" si="183"/>
        <v>0</v>
      </c>
      <c r="BD104" s="76">
        <f t="shared" si="183"/>
        <v>0</v>
      </c>
      <c r="BE104" s="94"/>
      <c r="BF104" s="76">
        <f>SUM(BN104:BR104)</f>
        <v>0</v>
      </c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>
        <v>0</v>
      </c>
      <c r="BR104" s="72">
        <v>0</v>
      </c>
      <c r="BT104" s="72">
        <f>SUM(BV104:BZ104)</f>
        <v>0</v>
      </c>
      <c r="BU104" s="76"/>
      <c r="BV104" s="76"/>
      <c r="BW104" s="76"/>
      <c r="BX104" s="76"/>
      <c r="BY104" s="76">
        <v>0</v>
      </c>
      <c r="BZ104" s="72">
        <v>0</v>
      </c>
      <c r="CB104" s="72"/>
    </row>
    <row r="105" spans="1:80" ht="12.75" thickTop="1"/>
    <row r="106" spans="1:80" ht="12.75" thickBot="1">
      <c r="A106" s="88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8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8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8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  <c r="BM106" s="87"/>
      <c r="BN106" s="87"/>
      <c r="BO106" s="87"/>
      <c r="BP106" s="87"/>
      <c r="BQ106" s="87"/>
      <c r="BR106" s="87"/>
      <c r="BS106" s="87"/>
      <c r="BT106" s="87"/>
      <c r="BU106" s="87"/>
      <c r="BV106" s="87"/>
      <c r="BW106" s="87"/>
      <c r="BX106" s="87"/>
      <c r="BY106" s="87"/>
      <c r="BZ106" s="87"/>
      <c r="CA106" s="87"/>
      <c r="CB106" s="87"/>
    </row>
    <row r="107" spans="1:80" ht="13.5" thickTop="1" thickBot="1">
      <c r="A107" s="81" t="s">
        <v>445</v>
      </c>
      <c r="B107" s="75">
        <f t="shared" ref="B107:AB107" si="184">+B108</f>
        <v>0</v>
      </c>
      <c r="C107" s="75">
        <f t="shared" si="184"/>
        <v>0</v>
      </c>
      <c r="D107" s="75">
        <f t="shared" si="184"/>
        <v>0</v>
      </c>
      <c r="E107" s="75">
        <f t="shared" si="184"/>
        <v>0</v>
      </c>
      <c r="F107" s="75">
        <f t="shared" si="184"/>
        <v>0</v>
      </c>
      <c r="G107" s="75">
        <f t="shared" si="184"/>
        <v>0</v>
      </c>
      <c r="H107" s="75">
        <f t="shared" si="184"/>
        <v>0</v>
      </c>
      <c r="I107" s="75">
        <f t="shared" si="184"/>
        <v>0</v>
      </c>
      <c r="J107" s="75">
        <f t="shared" si="184"/>
        <v>0</v>
      </c>
      <c r="K107" s="75">
        <f t="shared" si="184"/>
        <v>0</v>
      </c>
      <c r="L107" s="75">
        <f t="shared" si="184"/>
        <v>0</v>
      </c>
      <c r="M107" s="75">
        <f t="shared" si="184"/>
        <v>0</v>
      </c>
      <c r="N107" s="75">
        <f t="shared" si="184"/>
        <v>0</v>
      </c>
      <c r="O107" s="90"/>
      <c r="P107" s="75">
        <f t="shared" si="184"/>
        <v>1037700</v>
      </c>
      <c r="Q107" s="75">
        <f t="shared" si="184"/>
        <v>0</v>
      </c>
      <c r="R107" s="75">
        <f t="shared" si="184"/>
        <v>0</v>
      </c>
      <c r="S107" s="75">
        <f t="shared" si="184"/>
        <v>0</v>
      </c>
      <c r="T107" s="75">
        <f t="shared" si="184"/>
        <v>325000</v>
      </c>
      <c r="U107" s="75">
        <f t="shared" si="184"/>
        <v>0</v>
      </c>
      <c r="V107" s="75">
        <f t="shared" si="184"/>
        <v>0</v>
      </c>
      <c r="W107" s="75">
        <f t="shared" si="184"/>
        <v>80600</v>
      </c>
      <c r="X107" s="75">
        <f t="shared" si="184"/>
        <v>632100</v>
      </c>
      <c r="Y107" s="75">
        <f t="shared" si="184"/>
        <v>0</v>
      </c>
      <c r="Z107" s="75">
        <f t="shared" si="184"/>
        <v>0</v>
      </c>
      <c r="AA107" s="75">
        <f t="shared" si="184"/>
        <v>0</v>
      </c>
      <c r="AB107" s="75">
        <f t="shared" si="184"/>
        <v>0</v>
      </c>
      <c r="AC107" s="90"/>
      <c r="AD107" s="75">
        <f>SUM(AI107:AP107)</f>
        <v>818900</v>
      </c>
      <c r="AE107" s="75"/>
      <c r="AF107" s="75"/>
      <c r="AG107" s="75"/>
      <c r="AH107" s="75"/>
      <c r="AI107" s="75"/>
      <c r="AJ107" s="75"/>
      <c r="AK107" s="75">
        <f t="shared" ref="AK107:AP107" si="185">+AK108</f>
        <v>0</v>
      </c>
      <c r="AL107" s="75">
        <f t="shared" si="185"/>
        <v>65900</v>
      </c>
      <c r="AM107" s="75">
        <f t="shared" si="185"/>
        <v>0</v>
      </c>
      <c r="AN107" s="75">
        <f t="shared" si="185"/>
        <v>753000</v>
      </c>
      <c r="AO107" s="75">
        <f t="shared" si="185"/>
        <v>0</v>
      </c>
      <c r="AP107" s="75">
        <f t="shared" si="185"/>
        <v>0</v>
      </c>
      <c r="AQ107" s="90"/>
      <c r="AR107" s="75">
        <f>SUM(AY107:BD107)</f>
        <v>382938</v>
      </c>
      <c r="AS107" s="75">
        <f t="shared" ref="AS107:BD107" si="186">+AS108</f>
        <v>0</v>
      </c>
      <c r="AT107" s="75">
        <f t="shared" si="186"/>
        <v>0</v>
      </c>
      <c r="AU107" s="75">
        <f t="shared" si="186"/>
        <v>0</v>
      </c>
      <c r="AV107" s="75">
        <f t="shared" si="186"/>
        <v>0</v>
      </c>
      <c r="AW107" s="75">
        <f t="shared" si="186"/>
        <v>0</v>
      </c>
      <c r="AX107" s="75">
        <f t="shared" si="186"/>
        <v>0</v>
      </c>
      <c r="AY107" s="75">
        <f t="shared" si="186"/>
        <v>0</v>
      </c>
      <c r="AZ107" s="75">
        <f t="shared" si="186"/>
        <v>0</v>
      </c>
      <c r="BA107" s="75">
        <f t="shared" si="186"/>
        <v>0</v>
      </c>
      <c r="BB107" s="75">
        <f t="shared" si="186"/>
        <v>382938</v>
      </c>
      <c r="BC107" s="75">
        <f t="shared" si="186"/>
        <v>0</v>
      </c>
      <c r="BD107" s="75">
        <f t="shared" si="186"/>
        <v>0</v>
      </c>
      <c r="BE107" s="98"/>
      <c r="BF107" s="75">
        <f>+BF108</f>
        <v>365434</v>
      </c>
      <c r="BG107" s="75">
        <f t="shared" ref="BG107:BR107" si="187">SUM(BG108:BG112)</f>
        <v>0</v>
      </c>
      <c r="BH107" s="75">
        <f t="shared" si="187"/>
        <v>0</v>
      </c>
      <c r="BI107" s="75">
        <f t="shared" si="187"/>
        <v>226534</v>
      </c>
      <c r="BJ107" s="75">
        <f t="shared" si="187"/>
        <v>6500</v>
      </c>
      <c r="BK107" s="75">
        <f t="shared" si="187"/>
        <v>0</v>
      </c>
      <c r="BL107" s="75">
        <f t="shared" si="187"/>
        <v>6500</v>
      </c>
      <c r="BM107" s="75">
        <f t="shared" si="187"/>
        <v>0</v>
      </c>
      <c r="BN107" s="75">
        <f t="shared" si="187"/>
        <v>9700</v>
      </c>
      <c r="BO107" s="75">
        <f t="shared" si="187"/>
        <v>0</v>
      </c>
      <c r="BP107" s="75">
        <f t="shared" si="187"/>
        <v>158200</v>
      </c>
      <c r="BQ107" s="75">
        <f t="shared" si="187"/>
        <v>0</v>
      </c>
      <c r="BR107" s="75">
        <f t="shared" si="187"/>
        <v>0</v>
      </c>
      <c r="BS107" s="87"/>
      <c r="BT107" s="75">
        <f>SUM(BU107:BZ107)</f>
        <v>0</v>
      </c>
      <c r="BU107" s="75">
        <f t="shared" ref="BU107:BZ107" si="188">SUM(BU108:BU112)</f>
        <v>0</v>
      </c>
      <c r="BV107" s="75">
        <f t="shared" si="188"/>
        <v>0</v>
      </c>
      <c r="BW107" s="75">
        <f t="shared" si="188"/>
        <v>0</v>
      </c>
      <c r="BX107" s="75">
        <f t="shared" si="188"/>
        <v>0</v>
      </c>
      <c r="BY107" s="75">
        <f t="shared" si="188"/>
        <v>0</v>
      </c>
      <c r="BZ107" s="75">
        <f t="shared" si="188"/>
        <v>0</v>
      </c>
      <c r="CA107" s="95"/>
      <c r="CB107" s="75">
        <f>SUM(CB108:CB112)</f>
        <v>0</v>
      </c>
    </row>
    <row r="108" spans="1:80" ht="13.5" thickTop="1" thickBot="1">
      <c r="A108" s="64" t="s">
        <v>299</v>
      </c>
      <c r="B108" s="72">
        <f>SUM(C108:N108)</f>
        <v>0</v>
      </c>
      <c r="C108" s="72">
        <v>0</v>
      </c>
      <c r="D108" s="72">
        <v>0</v>
      </c>
      <c r="E108" s="72">
        <v>0</v>
      </c>
      <c r="F108" s="72">
        <v>0</v>
      </c>
      <c r="G108" s="72">
        <v>0</v>
      </c>
      <c r="H108" s="72">
        <v>0</v>
      </c>
      <c r="I108" s="72">
        <v>0</v>
      </c>
      <c r="J108" s="72">
        <v>0</v>
      </c>
      <c r="K108" s="72">
        <v>0</v>
      </c>
      <c r="L108" s="72">
        <v>0</v>
      </c>
      <c r="M108" s="72">
        <v>0</v>
      </c>
      <c r="N108" s="72">
        <v>0</v>
      </c>
      <c r="P108" s="72">
        <f>SUM(Q108:AB108)</f>
        <v>1037700</v>
      </c>
      <c r="Q108" s="72">
        <v>0</v>
      </c>
      <c r="R108" s="72">
        <v>0</v>
      </c>
      <c r="S108" s="72">
        <v>0</v>
      </c>
      <c r="T108" s="72">
        <v>325000</v>
      </c>
      <c r="U108" s="72">
        <v>0</v>
      </c>
      <c r="V108" s="72">
        <v>0</v>
      </c>
      <c r="W108" s="72">
        <v>80600</v>
      </c>
      <c r="X108" s="72">
        <v>632100</v>
      </c>
      <c r="Y108" s="72">
        <v>0</v>
      </c>
      <c r="Z108" s="72">
        <v>0</v>
      </c>
      <c r="AA108" s="72">
        <v>0</v>
      </c>
      <c r="AB108" s="72">
        <v>0</v>
      </c>
      <c r="AD108" s="72">
        <f t="shared" ref="Q108:AD112" si="189">SUM(AI108:AP108)</f>
        <v>818900</v>
      </c>
      <c r="AE108" s="72">
        <v>0</v>
      </c>
      <c r="AF108" s="72">
        <v>0</v>
      </c>
      <c r="AG108" s="72">
        <v>0</v>
      </c>
      <c r="AH108" s="72">
        <v>0</v>
      </c>
      <c r="AI108" s="72">
        <v>0</v>
      </c>
      <c r="AJ108" s="72">
        <v>0</v>
      </c>
      <c r="AK108" s="72">
        <v>0</v>
      </c>
      <c r="AL108" s="72">
        <v>65900</v>
      </c>
      <c r="AM108" s="72">
        <v>0</v>
      </c>
      <c r="AN108" s="72">
        <v>753000</v>
      </c>
      <c r="AO108" s="72">
        <v>0</v>
      </c>
      <c r="AP108" s="72">
        <v>0</v>
      </c>
      <c r="AR108" s="72">
        <f>SUM(AY108:BD108)</f>
        <v>382938</v>
      </c>
      <c r="AS108" s="72">
        <v>0</v>
      </c>
      <c r="AT108" s="72">
        <v>0</v>
      </c>
      <c r="AU108" s="72">
        <v>0</v>
      </c>
      <c r="AV108" s="72">
        <v>0</v>
      </c>
      <c r="AW108" s="72">
        <v>0</v>
      </c>
      <c r="AX108" s="72">
        <v>0</v>
      </c>
      <c r="AY108" s="72">
        <v>0</v>
      </c>
      <c r="AZ108" s="72">
        <v>0</v>
      </c>
      <c r="BA108" s="72">
        <v>0</v>
      </c>
      <c r="BB108" s="72">
        <v>382938</v>
      </c>
      <c r="BC108" s="72">
        <v>0</v>
      </c>
      <c r="BD108" s="72">
        <v>0</v>
      </c>
      <c r="BF108" s="72">
        <v>365434</v>
      </c>
      <c r="BG108" s="72"/>
      <c r="BH108" s="72"/>
      <c r="BI108" s="72">
        <v>226534</v>
      </c>
      <c r="BJ108" s="72">
        <v>6500</v>
      </c>
      <c r="BK108" s="72"/>
      <c r="BL108" s="72">
        <v>6500</v>
      </c>
      <c r="BM108" s="72"/>
      <c r="BN108" s="72">
        <v>9700</v>
      </c>
      <c r="BO108" s="72"/>
      <c r="BP108" s="72">
        <v>116200</v>
      </c>
      <c r="BQ108" s="72"/>
      <c r="BR108" s="72"/>
      <c r="BT108" s="72">
        <f>SUM(BU108:BZ108)</f>
        <v>0</v>
      </c>
      <c r="BU108" s="72"/>
      <c r="BV108" s="72"/>
      <c r="BW108" s="72"/>
      <c r="BX108" s="72"/>
      <c r="BY108" s="72"/>
      <c r="BZ108" s="72"/>
      <c r="CB108" s="72">
        <v>0</v>
      </c>
    </row>
    <row r="109" spans="1:80" ht="13.5" hidden="1" thickTop="1" thickBot="1">
      <c r="A109" s="88" t="s">
        <v>300</v>
      </c>
      <c r="B109" s="76">
        <f>SUM(AC109:AJ109)</f>
        <v>0</v>
      </c>
      <c r="C109" s="76">
        <f t="shared" ref="C109:N112" si="190">SUM(S109:Z109)</f>
        <v>0</v>
      </c>
      <c r="D109" s="76">
        <f t="shared" si="190"/>
        <v>0</v>
      </c>
      <c r="E109" s="76">
        <f t="shared" si="190"/>
        <v>0</v>
      </c>
      <c r="F109" s="76">
        <f t="shared" si="190"/>
        <v>0</v>
      </c>
      <c r="G109" s="76">
        <f t="shared" si="190"/>
        <v>0</v>
      </c>
      <c r="H109" s="76">
        <f t="shared" si="190"/>
        <v>0</v>
      </c>
      <c r="I109" s="76">
        <f t="shared" si="190"/>
        <v>0</v>
      </c>
      <c r="J109" s="76">
        <f t="shared" si="190"/>
        <v>0</v>
      </c>
      <c r="K109" s="76">
        <f t="shared" si="190"/>
        <v>0</v>
      </c>
      <c r="L109" s="76">
        <f t="shared" si="190"/>
        <v>0</v>
      </c>
      <c r="M109" s="76">
        <f t="shared" si="190"/>
        <v>0</v>
      </c>
      <c r="N109" s="76">
        <f t="shared" si="190"/>
        <v>0</v>
      </c>
      <c r="O109" s="91"/>
      <c r="P109" s="76">
        <f>SUM(AE109:AL109)</f>
        <v>0</v>
      </c>
      <c r="Q109" s="76">
        <f t="shared" si="189"/>
        <v>0</v>
      </c>
      <c r="R109" s="76">
        <f t="shared" si="189"/>
        <v>0</v>
      </c>
      <c r="S109" s="76">
        <f t="shared" si="189"/>
        <v>0</v>
      </c>
      <c r="T109" s="76">
        <f t="shared" si="189"/>
        <v>0</v>
      </c>
      <c r="U109" s="76">
        <f t="shared" si="189"/>
        <v>0</v>
      </c>
      <c r="V109" s="76">
        <f t="shared" si="189"/>
        <v>0</v>
      </c>
      <c r="W109" s="76">
        <f t="shared" si="189"/>
        <v>0</v>
      </c>
      <c r="X109" s="76">
        <f t="shared" si="189"/>
        <v>0</v>
      </c>
      <c r="Y109" s="76">
        <f t="shared" si="189"/>
        <v>0</v>
      </c>
      <c r="Z109" s="76">
        <f t="shared" si="189"/>
        <v>0</v>
      </c>
      <c r="AA109" s="76">
        <f t="shared" si="189"/>
        <v>0</v>
      </c>
      <c r="AB109" s="76">
        <f t="shared" si="189"/>
        <v>0</v>
      </c>
      <c r="AC109" s="91"/>
      <c r="AD109" s="76">
        <f t="shared" si="189"/>
        <v>0</v>
      </c>
      <c r="AE109" s="76"/>
      <c r="AF109" s="76"/>
      <c r="AG109" s="76"/>
      <c r="AH109" s="76"/>
      <c r="AI109" s="76"/>
      <c r="AJ109" s="76"/>
      <c r="AK109" s="76">
        <v>0</v>
      </c>
      <c r="AL109" s="76">
        <v>0</v>
      </c>
      <c r="AM109" s="76">
        <v>0</v>
      </c>
      <c r="AN109" s="76">
        <v>0</v>
      </c>
      <c r="AO109" s="76">
        <v>0</v>
      </c>
      <c r="AP109" s="76">
        <v>0</v>
      </c>
      <c r="AQ109" s="91"/>
      <c r="AR109" s="76"/>
      <c r="AS109" s="76">
        <v>0</v>
      </c>
      <c r="AT109" s="76">
        <v>0</v>
      </c>
      <c r="AU109" s="76">
        <v>0</v>
      </c>
      <c r="AV109" s="76">
        <v>0</v>
      </c>
      <c r="AW109" s="76">
        <v>0</v>
      </c>
      <c r="AX109" s="76">
        <v>0</v>
      </c>
      <c r="AY109" s="76">
        <v>0</v>
      </c>
      <c r="AZ109" s="76">
        <v>0</v>
      </c>
      <c r="BA109" s="76">
        <v>0</v>
      </c>
      <c r="BB109" s="76">
        <v>0</v>
      </c>
      <c r="BC109" s="76">
        <v>0</v>
      </c>
      <c r="BD109" s="76">
        <v>0</v>
      </c>
      <c r="BE109" s="86"/>
      <c r="BF109" s="76">
        <v>0</v>
      </c>
      <c r="BG109" s="76"/>
      <c r="BH109" s="76"/>
      <c r="BI109" s="76"/>
      <c r="BJ109" s="76"/>
      <c r="BK109" s="76"/>
      <c r="BL109" s="76"/>
      <c r="BM109" s="76"/>
      <c r="BN109" s="76"/>
      <c r="BO109" s="76"/>
      <c r="BP109" s="76">
        <v>42000</v>
      </c>
      <c r="BQ109" s="76"/>
      <c r="BR109" s="72"/>
      <c r="BS109" s="86"/>
      <c r="BT109" s="76">
        <f>SUM(BX109:BZ109)</f>
        <v>0</v>
      </c>
      <c r="BU109" s="76"/>
      <c r="BV109" s="76"/>
      <c r="BW109" s="76"/>
      <c r="BX109" s="76"/>
      <c r="BY109" s="76"/>
      <c r="BZ109" s="76"/>
      <c r="CB109" s="76"/>
    </row>
    <row r="110" spans="1:80" ht="14.25" hidden="1" customHeight="1">
      <c r="A110" s="88" t="s">
        <v>301</v>
      </c>
      <c r="B110" s="76">
        <f>SUM(AC110:AJ110)</f>
        <v>0</v>
      </c>
      <c r="C110" s="76">
        <f t="shared" si="190"/>
        <v>0</v>
      </c>
      <c r="D110" s="76">
        <f t="shared" si="190"/>
        <v>0</v>
      </c>
      <c r="E110" s="76">
        <f t="shared" si="190"/>
        <v>0</v>
      </c>
      <c r="F110" s="76">
        <f t="shared" si="190"/>
        <v>0</v>
      </c>
      <c r="G110" s="76">
        <f t="shared" si="190"/>
        <v>0</v>
      </c>
      <c r="H110" s="76">
        <f t="shared" si="190"/>
        <v>0</v>
      </c>
      <c r="I110" s="76">
        <f t="shared" si="190"/>
        <v>0</v>
      </c>
      <c r="J110" s="76">
        <f t="shared" si="190"/>
        <v>0</v>
      </c>
      <c r="K110" s="76">
        <f t="shared" si="190"/>
        <v>0</v>
      </c>
      <c r="L110" s="76">
        <f t="shared" si="190"/>
        <v>0</v>
      </c>
      <c r="M110" s="76">
        <f t="shared" si="190"/>
        <v>0</v>
      </c>
      <c r="N110" s="76">
        <f t="shared" si="190"/>
        <v>0</v>
      </c>
      <c r="O110" s="91"/>
      <c r="P110" s="76">
        <f>SUM(AE110:AL110)</f>
        <v>0</v>
      </c>
      <c r="Q110" s="76">
        <f t="shared" si="189"/>
        <v>0</v>
      </c>
      <c r="R110" s="76">
        <f t="shared" si="189"/>
        <v>0</v>
      </c>
      <c r="S110" s="76">
        <f t="shared" si="189"/>
        <v>0</v>
      </c>
      <c r="T110" s="76">
        <f t="shared" si="189"/>
        <v>0</v>
      </c>
      <c r="U110" s="76">
        <f t="shared" si="189"/>
        <v>0</v>
      </c>
      <c r="V110" s="76">
        <f t="shared" si="189"/>
        <v>0</v>
      </c>
      <c r="W110" s="76">
        <f t="shared" si="189"/>
        <v>0</v>
      </c>
      <c r="X110" s="76">
        <f t="shared" si="189"/>
        <v>0</v>
      </c>
      <c r="Y110" s="76">
        <f t="shared" si="189"/>
        <v>0</v>
      </c>
      <c r="Z110" s="76">
        <f t="shared" si="189"/>
        <v>0</v>
      </c>
      <c r="AA110" s="76">
        <f t="shared" si="189"/>
        <v>0</v>
      </c>
      <c r="AB110" s="76">
        <f t="shared" si="189"/>
        <v>0</v>
      </c>
      <c r="AC110" s="91"/>
      <c r="AD110" s="76">
        <f t="shared" si="189"/>
        <v>0</v>
      </c>
      <c r="AE110" s="76"/>
      <c r="AF110" s="76"/>
      <c r="AG110" s="76"/>
      <c r="AH110" s="76"/>
      <c r="AI110" s="76"/>
      <c r="AJ110" s="76"/>
      <c r="AK110" s="76">
        <f t="shared" ref="AK110:AP112" si="191">SUM(AM110:AX110)</f>
        <v>0</v>
      </c>
      <c r="AL110" s="76">
        <f t="shared" si="191"/>
        <v>0</v>
      </c>
      <c r="AM110" s="76">
        <f t="shared" si="191"/>
        <v>0</v>
      </c>
      <c r="AN110" s="76">
        <f t="shared" si="191"/>
        <v>0</v>
      </c>
      <c r="AO110" s="76">
        <f t="shared" si="191"/>
        <v>0</v>
      </c>
      <c r="AP110" s="76">
        <f t="shared" si="191"/>
        <v>0</v>
      </c>
      <c r="AQ110" s="91"/>
      <c r="AR110" s="76"/>
      <c r="AS110" s="76">
        <f t="shared" ref="AS110:BD112" si="192">SUM(AU110:BF110)</f>
        <v>0</v>
      </c>
      <c r="AT110" s="76">
        <f t="shared" si="192"/>
        <v>0</v>
      </c>
      <c r="AU110" s="76">
        <f t="shared" si="192"/>
        <v>0</v>
      </c>
      <c r="AV110" s="76">
        <f t="shared" si="192"/>
        <v>0</v>
      </c>
      <c r="AW110" s="76">
        <f t="shared" si="192"/>
        <v>0</v>
      </c>
      <c r="AX110" s="76">
        <f t="shared" si="192"/>
        <v>0</v>
      </c>
      <c r="AY110" s="76">
        <f t="shared" si="192"/>
        <v>0</v>
      </c>
      <c r="AZ110" s="76">
        <f t="shared" si="192"/>
        <v>0</v>
      </c>
      <c r="BA110" s="76">
        <f t="shared" si="192"/>
        <v>0</v>
      </c>
      <c r="BB110" s="76">
        <f t="shared" si="192"/>
        <v>0</v>
      </c>
      <c r="BC110" s="76">
        <f t="shared" si="192"/>
        <v>0</v>
      </c>
      <c r="BD110" s="76">
        <f t="shared" si="192"/>
        <v>0</v>
      </c>
      <c r="BE110" s="86"/>
      <c r="BF110" s="76">
        <f t="shared" ref="BF110:BF112" si="193">SUM(BG110:BR110)</f>
        <v>0</v>
      </c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77"/>
      <c r="BR110" s="96"/>
      <c r="BS110" s="86"/>
      <c r="BT110" s="77">
        <f>SUM(BX110:BZ110)</f>
        <v>0</v>
      </c>
      <c r="BU110" s="85"/>
      <c r="BV110" s="85"/>
      <c r="BW110" s="85"/>
      <c r="BX110" s="85"/>
      <c r="BY110" s="77"/>
      <c r="BZ110" s="77"/>
      <c r="CB110" s="77"/>
    </row>
    <row r="111" spans="1:80" ht="13.5" hidden="1" thickTop="1" thickBot="1">
      <c r="A111" s="88" t="s">
        <v>302</v>
      </c>
      <c r="B111" s="111">
        <f>SUM(AC111:AJ111)</f>
        <v>0</v>
      </c>
      <c r="C111" s="111">
        <f t="shared" si="190"/>
        <v>0</v>
      </c>
      <c r="D111" s="111">
        <f t="shared" si="190"/>
        <v>0</v>
      </c>
      <c r="E111" s="111">
        <f t="shared" si="190"/>
        <v>0</v>
      </c>
      <c r="F111" s="111">
        <f t="shared" si="190"/>
        <v>0</v>
      </c>
      <c r="G111" s="111">
        <f t="shared" si="190"/>
        <v>0</v>
      </c>
      <c r="H111" s="111">
        <f t="shared" si="190"/>
        <v>0</v>
      </c>
      <c r="I111" s="111">
        <f t="shared" si="190"/>
        <v>0</v>
      </c>
      <c r="J111" s="111">
        <f t="shared" si="190"/>
        <v>0</v>
      </c>
      <c r="K111" s="111">
        <f t="shared" si="190"/>
        <v>0</v>
      </c>
      <c r="L111" s="111">
        <f t="shared" si="190"/>
        <v>0</v>
      </c>
      <c r="M111" s="111">
        <f t="shared" si="190"/>
        <v>0</v>
      </c>
      <c r="N111" s="111">
        <f t="shared" si="190"/>
        <v>0</v>
      </c>
      <c r="O111" s="91"/>
      <c r="P111" s="111">
        <f>SUM(AE111:AL111)</f>
        <v>0</v>
      </c>
      <c r="Q111" s="111">
        <f t="shared" si="189"/>
        <v>0</v>
      </c>
      <c r="R111" s="111">
        <f t="shared" si="189"/>
        <v>0</v>
      </c>
      <c r="S111" s="111">
        <f t="shared" si="189"/>
        <v>0</v>
      </c>
      <c r="T111" s="111">
        <f t="shared" si="189"/>
        <v>0</v>
      </c>
      <c r="U111" s="111">
        <f t="shared" si="189"/>
        <v>0</v>
      </c>
      <c r="V111" s="111">
        <f t="shared" si="189"/>
        <v>0</v>
      </c>
      <c r="W111" s="111">
        <f t="shared" si="189"/>
        <v>0</v>
      </c>
      <c r="X111" s="111">
        <f t="shared" si="189"/>
        <v>0</v>
      </c>
      <c r="Y111" s="111">
        <f t="shared" si="189"/>
        <v>0</v>
      </c>
      <c r="Z111" s="111">
        <f t="shared" si="189"/>
        <v>0</v>
      </c>
      <c r="AA111" s="111">
        <f t="shared" si="189"/>
        <v>0</v>
      </c>
      <c r="AB111" s="111">
        <f t="shared" si="189"/>
        <v>0</v>
      </c>
      <c r="AC111" s="91"/>
      <c r="AD111" s="111">
        <f t="shared" si="189"/>
        <v>0</v>
      </c>
      <c r="AE111" s="111"/>
      <c r="AF111" s="111"/>
      <c r="AG111" s="111"/>
      <c r="AH111" s="111"/>
      <c r="AI111" s="111"/>
      <c r="AJ111" s="111"/>
      <c r="AK111" s="76">
        <f t="shared" si="191"/>
        <v>0</v>
      </c>
      <c r="AL111" s="76">
        <f t="shared" si="191"/>
        <v>0</v>
      </c>
      <c r="AM111" s="76">
        <f t="shared" si="191"/>
        <v>0</v>
      </c>
      <c r="AN111" s="76">
        <f t="shared" si="191"/>
        <v>0</v>
      </c>
      <c r="AO111" s="76">
        <f t="shared" si="191"/>
        <v>0</v>
      </c>
      <c r="AP111" s="76">
        <f t="shared" si="191"/>
        <v>0</v>
      </c>
      <c r="AQ111" s="91"/>
      <c r="AR111" s="76"/>
      <c r="AS111" s="76">
        <f t="shared" si="192"/>
        <v>0</v>
      </c>
      <c r="AT111" s="76">
        <f t="shared" si="192"/>
        <v>0</v>
      </c>
      <c r="AU111" s="76">
        <f t="shared" si="192"/>
        <v>0</v>
      </c>
      <c r="AV111" s="76">
        <f t="shared" si="192"/>
        <v>0</v>
      </c>
      <c r="AW111" s="76">
        <f t="shared" si="192"/>
        <v>0</v>
      </c>
      <c r="AX111" s="76">
        <f t="shared" si="192"/>
        <v>0</v>
      </c>
      <c r="AY111" s="76">
        <f t="shared" si="192"/>
        <v>0</v>
      </c>
      <c r="AZ111" s="76">
        <f t="shared" si="192"/>
        <v>0</v>
      </c>
      <c r="BA111" s="76">
        <f t="shared" si="192"/>
        <v>0</v>
      </c>
      <c r="BB111" s="76">
        <f t="shared" si="192"/>
        <v>0</v>
      </c>
      <c r="BC111" s="76">
        <f t="shared" si="192"/>
        <v>0</v>
      </c>
      <c r="BD111" s="76">
        <f t="shared" si="192"/>
        <v>0</v>
      </c>
      <c r="BE111" s="86"/>
      <c r="BF111" s="76">
        <f t="shared" si="193"/>
        <v>0</v>
      </c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77"/>
      <c r="BR111" s="96"/>
      <c r="BS111" s="86"/>
      <c r="BT111" s="77">
        <f>SUM(BX111:BZ111)</f>
        <v>0</v>
      </c>
      <c r="BU111" s="85"/>
      <c r="BV111" s="85"/>
      <c r="BW111" s="85"/>
      <c r="BX111" s="85"/>
      <c r="BY111" s="77"/>
      <c r="BZ111" s="77"/>
      <c r="CB111" s="77"/>
    </row>
    <row r="112" spans="1:80" ht="13.5" hidden="1" thickTop="1" thickBot="1">
      <c r="A112" s="88" t="s">
        <v>281</v>
      </c>
      <c r="B112" s="76">
        <f>SUM(AC112:AJ112)</f>
        <v>0</v>
      </c>
      <c r="C112" s="76">
        <f t="shared" si="190"/>
        <v>0</v>
      </c>
      <c r="D112" s="76">
        <f t="shared" si="190"/>
        <v>0</v>
      </c>
      <c r="E112" s="76">
        <f t="shared" si="190"/>
        <v>0</v>
      </c>
      <c r="F112" s="76">
        <f t="shared" si="190"/>
        <v>0</v>
      </c>
      <c r="G112" s="76">
        <f t="shared" si="190"/>
        <v>0</v>
      </c>
      <c r="H112" s="76">
        <f t="shared" si="190"/>
        <v>0</v>
      </c>
      <c r="I112" s="76">
        <f t="shared" si="190"/>
        <v>0</v>
      </c>
      <c r="J112" s="76">
        <f t="shared" si="190"/>
        <v>0</v>
      </c>
      <c r="K112" s="76">
        <f t="shared" si="190"/>
        <v>0</v>
      </c>
      <c r="L112" s="76">
        <f t="shared" si="190"/>
        <v>0</v>
      </c>
      <c r="M112" s="76">
        <f t="shared" si="190"/>
        <v>0</v>
      </c>
      <c r="N112" s="76">
        <f t="shared" si="190"/>
        <v>0</v>
      </c>
      <c r="O112" s="91"/>
      <c r="P112" s="76">
        <f>SUM(AE112:AL112)</f>
        <v>0</v>
      </c>
      <c r="Q112" s="76">
        <f t="shared" si="189"/>
        <v>0</v>
      </c>
      <c r="R112" s="76">
        <f t="shared" si="189"/>
        <v>0</v>
      </c>
      <c r="S112" s="76">
        <f t="shared" si="189"/>
        <v>0</v>
      </c>
      <c r="T112" s="76">
        <f t="shared" si="189"/>
        <v>0</v>
      </c>
      <c r="U112" s="76">
        <f t="shared" si="189"/>
        <v>0</v>
      </c>
      <c r="V112" s="76">
        <f t="shared" si="189"/>
        <v>0</v>
      </c>
      <c r="W112" s="76">
        <f t="shared" si="189"/>
        <v>0</v>
      </c>
      <c r="X112" s="76">
        <f t="shared" si="189"/>
        <v>0</v>
      </c>
      <c r="Y112" s="76">
        <f t="shared" si="189"/>
        <v>0</v>
      </c>
      <c r="Z112" s="76">
        <f t="shared" si="189"/>
        <v>0</v>
      </c>
      <c r="AA112" s="76">
        <f t="shared" si="189"/>
        <v>0</v>
      </c>
      <c r="AB112" s="76">
        <f t="shared" si="189"/>
        <v>0</v>
      </c>
      <c r="AC112" s="91"/>
      <c r="AD112" s="76">
        <f t="shared" si="189"/>
        <v>0</v>
      </c>
      <c r="AE112" s="76"/>
      <c r="AF112" s="76"/>
      <c r="AG112" s="76"/>
      <c r="AH112" s="76"/>
      <c r="AI112" s="76"/>
      <c r="AJ112" s="76"/>
      <c r="AK112" s="76">
        <f t="shared" si="191"/>
        <v>0</v>
      </c>
      <c r="AL112" s="76">
        <f t="shared" si="191"/>
        <v>0</v>
      </c>
      <c r="AM112" s="76">
        <f t="shared" si="191"/>
        <v>0</v>
      </c>
      <c r="AN112" s="76">
        <f t="shared" si="191"/>
        <v>0</v>
      </c>
      <c r="AO112" s="76">
        <f t="shared" si="191"/>
        <v>0</v>
      </c>
      <c r="AP112" s="76">
        <f t="shared" si="191"/>
        <v>0</v>
      </c>
      <c r="AQ112" s="91"/>
      <c r="AR112" s="76"/>
      <c r="AS112" s="76">
        <f t="shared" si="192"/>
        <v>0</v>
      </c>
      <c r="AT112" s="76">
        <f t="shared" si="192"/>
        <v>0</v>
      </c>
      <c r="AU112" s="76">
        <f t="shared" si="192"/>
        <v>0</v>
      </c>
      <c r="AV112" s="76">
        <f t="shared" si="192"/>
        <v>0</v>
      </c>
      <c r="AW112" s="76">
        <f t="shared" si="192"/>
        <v>0</v>
      </c>
      <c r="AX112" s="76">
        <f t="shared" si="192"/>
        <v>0</v>
      </c>
      <c r="AY112" s="76">
        <f t="shared" si="192"/>
        <v>0</v>
      </c>
      <c r="AZ112" s="76">
        <f t="shared" si="192"/>
        <v>0</v>
      </c>
      <c r="BA112" s="76">
        <f t="shared" si="192"/>
        <v>0</v>
      </c>
      <c r="BB112" s="76">
        <f t="shared" si="192"/>
        <v>0</v>
      </c>
      <c r="BC112" s="76">
        <f t="shared" si="192"/>
        <v>0</v>
      </c>
      <c r="BD112" s="76">
        <f t="shared" si="192"/>
        <v>0</v>
      </c>
      <c r="BE112" s="86"/>
      <c r="BF112" s="76">
        <f t="shared" si="193"/>
        <v>0</v>
      </c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72"/>
      <c r="BS112" s="86"/>
      <c r="BT112" s="85">
        <f>SUM(BX112:BZ112)</f>
        <v>0</v>
      </c>
      <c r="BU112" s="85"/>
      <c r="BV112" s="85"/>
      <c r="BW112" s="85"/>
      <c r="BX112" s="85"/>
      <c r="BY112" s="85"/>
      <c r="BZ112" s="72"/>
      <c r="CB112" s="72"/>
    </row>
    <row r="113" spans="1:80" ht="13.5" thickTop="1" thickBot="1"/>
    <row r="114" spans="1:80" ht="13.5" thickTop="1" thickBot="1">
      <c r="A114" s="81" t="s">
        <v>303</v>
      </c>
      <c r="B114" s="75">
        <f t="shared" ref="B114:N114" si="194">SUM(B115:B117)</f>
        <v>0</v>
      </c>
      <c r="C114" s="75">
        <f t="shared" ref="C114:D114" si="195">SUM(C115:C117)</f>
        <v>0</v>
      </c>
      <c r="D114" s="75">
        <f t="shared" si="195"/>
        <v>0</v>
      </c>
      <c r="E114" s="75">
        <f t="shared" si="194"/>
        <v>0</v>
      </c>
      <c r="F114" s="75">
        <f t="shared" ref="F114:G114" si="196">SUM(F115:F117)</f>
        <v>0</v>
      </c>
      <c r="G114" s="75">
        <f t="shared" si="196"/>
        <v>0</v>
      </c>
      <c r="H114" s="75">
        <f t="shared" si="194"/>
        <v>0</v>
      </c>
      <c r="I114" s="75">
        <f t="shared" ref="I114:J114" si="197">SUM(I115:I117)</f>
        <v>0</v>
      </c>
      <c r="J114" s="75">
        <f t="shared" si="197"/>
        <v>0</v>
      </c>
      <c r="K114" s="75">
        <f t="shared" si="194"/>
        <v>0</v>
      </c>
      <c r="L114" s="75">
        <f t="shared" ref="L114:M114" si="198">SUM(L115:L117)</f>
        <v>0</v>
      </c>
      <c r="M114" s="75">
        <f t="shared" si="198"/>
        <v>0</v>
      </c>
      <c r="N114" s="75">
        <f t="shared" si="194"/>
        <v>0</v>
      </c>
      <c r="O114" s="90"/>
      <c r="P114" s="75">
        <f t="shared" ref="P114:Z114" si="199">SUM(P115:P117)</f>
        <v>0</v>
      </c>
      <c r="Q114" s="75">
        <f t="shared" si="199"/>
        <v>0</v>
      </c>
      <c r="R114" s="75">
        <f t="shared" ref="R114:S114" si="200">SUM(R115:R117)</f>
        <v>0</v>
      </c>
      <c r="S114" s="75">
        <f t="shared" si="200"/>
        <v>0</v>
      </c>
      <c r="T114" s="75">
        <f t="shared" si="199"/>
        <v>0</v>
      </c>
      <c r="U114" s="75">
        <f t="shared" ref="U114:V114" si="201">SUM(U115:U117)</f>
        <v>0</v>
      </c>
      <c r="V114" s="75">
        <f t="shared" si="201"/>
        <v>0</v>
      </c>
      <c r="W114" s="75">
        <f t="shared" si="199"/>
        <v>0</v>
      </c>
      <c r="X114" s="75">
        <f t="shared" ref="X114:Y114" si="202">SUM(X115:X117)</f>
        <v>0</v>
      </c>
      <c r="Y114" s="75">
        <f t="shared" si="202"/>
        <v>0</v>
      </c>
      <c r="Z114" s="75">
        <f t="shared" si="199"/>
        <v>0</v>
      </c>
      <c r="AA114" s="75">
        <f t="shared" ref="AA114:AB114" si="203">SUM(AA115:AA117)</f>
        <v>0</v>
      </c>
      <c r="AB114" s="75">
        <f t="shared" si="203"/>
        <v>0</v>
      </c>
      <c r="AC114" s="90"/>
      <c r="AD114" s="75">
        <f t="shared" ref="AD114:AK114" si="204">SUM(AD115:AD117)</f>
        <v>0</v>
      </c>
      <c r="AE114" s="75">
        <f t="shared" si="204"/>
        <v>0</v>
      </c>
      <c r="AF114" s="75">
        <f t="shared" si="204"/>
        <v>0</v>
      </c>
      <c r="AG114" s="75">
        <f t="shared" si="204"/>
        <v>0</v>
      </c>
      <c r="AH114" s="75">
        <f t="shared" si="204"/>
        <v>0</v>
      </c>
      <c r="AI114" s="75">
        <f t="shared" si="204"/>
        <v>0</v>
      </c>
      <c r="AJ114" s="75">
        <f t="shared" si="204"/>
        <v>0</v>
      </c>
      <c r="AK114" s="75">
        <f t="shared" si="204"/>
        <v>0</v>
      </c>
      <c r="AL114" s="75">
        <f>SUM(AL115:AL117)</f>
        <v>0</v>
      </c>
      <c r="AM114" s="75">
        <f>SUM(AM115:AM117)</f>
        <v>0</v>
      </c>
      <c r="AN114" s="75">
        <f>SUM(AN115:AN117)</f>
        <v>0</v>
      </c>
      <c r="AO114" s="75">
        <f>SUM(AO115:AO117)</f>
        <v>0</v>
      </c>
      <c r="AP114" s="75">
        <f>SUM(AP115:AP117)</f>
        <v>0</v>
      </c>
      <c r="AQ114" s="90"/>
      <c r="AR114" s="75">
        <f>SUM(AS114:BD114)</f>
        <v>184941</v>
      </c>
      <c r="AS114" s="75">
        <f t="shared" ref="AS114:BD114" si="205">SUM(AS115:AS117)</f>
        <v>0</v>
      </c>
      <c r="AT114" s="75">
        <f t="shared" si="205"/>
        <v>0</v>
      </c>
      <c r="AU114" s="75">
        <f t="shared" si="205"/>
        <v>0</v>
      </c>
      <c r="AV114" s="75">
        <f t="shared" si="205"/>
        <v>0</v>
      </c>
      <c r="AW114" s="75">
        <f t="shared" si="205"/>
        <v>0</v>
      </c>
      <c r="AX114" s="75">
        <f t="shared" si="205"/>
        <v>0</v>
      </c>
      <c r="AY114" s="75">
        <f t="shared" si="205"/>
        <v>0</v>
      </c>
      <c r="AZ114" s="75">
        <f t="shared" si="205"/>
        <v>0</v>
      </c>
      <c r="BA114" s="75">
        <f t="shared" si="205"/>
        <v>0</v>
      </c>
      <c r="BB114" s="75">
        <f t="shared" si="205"/>
        <v>163933</v>
      </c>
      <c r="BC114" s="75">
        <f t="shared" si="205"/>
        <v>21008</v>
      </c>
      <c r="BD114" s="75">
        <f t="shared" si="205"/>
        <v>0</v>
      </c>
      <c r="BE114" s="95"/>
      <c r="BF114" s="75">
        <f>SUM(BF115:BF117)</f>
        <v>0</v>
      </c>
      <c r="BG114" s="75">
        <f t="shared" ref="BG114:BR114" si="206">SUM(BG115:BG119)</f>
        <v>0</v>
      </c>
      <c r="BH114" s="75">
        <f t="shared" si="206"/>
        <v>0</v>
      </c>
      <c r="BI114" s="75">
        <f t="shared" si="206"/>
        <v>0</v>
      </c>
      <c r="BJ114" s="75">
        <f t="shared" si="206"/>
        <v>0</v>
      </c>
      <c r="BK114" s="75">
        <f t="shared" si="206"/>
        <v>0</v>
      </c>
      <c r="BL114" s="75">
        <f t="shared" si="206"/>
        <v>0</v>
      </c>
      <c r="BM114" s="75">
        <f t="shared" si="206"/>
        <v>0</v>
      </c>
      <c r="BN114" s="75">
        <f t="shared" si="206"/>
        <v>0</v>
      </c>
      <c r="BO114" s="75">
        <f t="shared" si="206"/>
        <v>0</v>
      </c>
      <c r="BP114" s="75">
        <f t="shared" si="206"/>
        <v>0</v>
      </c>
      <c r="BQ114" s="75">
        <f t="shared" si="206"/>
        <v>0</v>
      </c>
      <c r="BR114" s="75">
        <f t="shared" si="206"/>
        <v>0</v>
      </c>
      <c r="BS114" s="95"/>
      <c r="BT114" s="75">
        <f>SUM(BU114:BZ114)</f>
        <v>0</v>
      </c>
      <c r="BU114" s="75">
        <f t="shared" ref="BU114:BZ114" si="207">SUM(BU115:BU119)</f>
        <v>0</v>
      </c>
      <c r="BV114" s="75">
        <f t="shared" si="207"/>
        <v>0</v>
      </c>
      <c r="BW114" s="75">
        <f t="shared" si="207"/>
        <v>0</v>
      </c>
      <c r="BX114" s="75">
        <f t="shared" si="207"/>
        <v>0</v>
      </c>
      <c r="BY114" s="75">
        <f t="shared" si="207"/>
        <v>0</v>
      </c>
      <c r="BZ114" s="75">
        <f t="shared" si="207"/>
        <v>0</v>
      </c>
      <c r="CA114" s="87"/>
      <c r="CB114" s="75">
        <f>SUM(CB115:CB119)</f>
        <v>0</v>
      </c>
    </row>
    <row r="115" spans="1:80" ht="12.75" hidden="1" thickTop="1">
      <c r="A115" s="88" t="s">
        <v>304</v>
      </c>
      <c r="B115" s="144">
        <f>SUM(N115:AJ115)</f>
        <v>0</v>
      </c>
      <c r="C115" s="144">
        <f t="shared" ref="C115:N115" si="208">SUM(P115:Z115)</f>
        <v>0</v>
      </c>
      <c r="D115" s="144">
        <f t="shared" si="208"/>
        <v>0</v>
      </c>
      <c r="E115" s="144">
        <f t="shared" si="208"/>
        <v>0</v>
      </c>
      <c r="F115" s="144">
        <f t="shared" si="208"/>
        <v>0</v>
      </c>
      <c r="G115" s="144">
        <f t="shared" si="208"/>
        <v>0</v>
      </c>
      <c r="H115" s="144">
        <f t="shared" si="208"/>
        <v>0</v>
      </c>
      <c r="I115" s="144">
        <f t="shared" si="208"/>
        <v>0</v>
      </c>
      <c r="J115" s="144">
        <f t="shared" si="208"/>
        <v>0</v>
      </c>
      <c r="K115" s="144">
        <f t="shared" si="208"/>
        <v>0</v>
      </c>
      <c r="L115" s="144">
        <f t="shared" si="208"/>
        <v>0</v>
      </c>
      <c r="M115" s="144">
        <f t="shared" si="208"/>
        <v>0</v>
      </c>
      <c r="N115" s="144">
        <f t="shared" si="208"/>
        <v>0</v>
      </c>
      <c r="O115" s="91"/>
      <c r="P115" s="144">
        <f>SUM(AB115:AL115)</f>
        <v>0</v>
      </c>
      <c r="Q115" s="144">
        <f t="shared" ref="Q115:AB115" si="209">SUM(S115:AC115)</f>
        <v>0</v>
      </c>
      <c r="R115" s="144">
        <f t="shared" si="209"/>
        <v>0</v>
      </c>
      <c r="S115" s="144">
        <f t="shared" si="209"/>
        <v>0</v>
      </c>
      <c r="T115" s="144">
        <f t="shared" si="209"/>
        <v>0</v>
      </c>
      <c r="U115" s="144">
        <f t="shared" si="209"/>
        <v>0</v>
      </c>
      <c r="V115" s="144">
        <f t="shared" si="209"/>
        <v>0</v>
      </c>
      <c r="W115" s="144">
        <f t="shared" si="209"/>
        <v>0</v>
      </c>
      <c r="X115" s="144">
        <f t="shared" si="209"/>
        <v>0</v>
      </c>
      <c r="Y115" s="144">
        <f t="shared" si="209"/>
        <v>0</v>
      </c>
      <c r="Z115" s="144">
        <f t="shared" si="209"/>
        <v>0</v>
      </c>
      <c r="AA115" s="144">
        <f t="shared" si="209"/>
        <v>0</v>
      </c>
      <c r="AB115" s="144">
        <f t="shared" si="209"/>
        <v>0</v>
      </c>
      <c r="AC115" s="91"/>
      <c r="AD115" s="144">
        <f>SUM(AF115:AP115)</f>
        <v>0</v>
      </c>
      <c r="AE115" s="144">
        <v>0</v>
      </c>
      <c r="AF115" s="144">
        <v>0</v>
      </c>
      <c r="AG115" s="144">
        <v>0</v>
      </c>
      <c r="AH115" s="144">
        <v>0</v>
      </c>
      <c r="AI115" s="144">
        <v>0</v>
      </c>
      <c r="AJ115" s="144">
        <v>0</v>
      </c>
      <c r="AK115" s="144">
        <v>0</v>
      </c>
      <c r="AL115" s="144">
        <v>0</v>
      </c>
      <c r="AM115" s="144">
        <v>0</v>
      </c>
      <c r="AN115" s="144">
        <v>0</v>
      </c>
      <c r="AO115" s="144">
        <v>0</v>
      </c>
      <c r="AP115" s="144">
        <v>0</v>
      </c>
      <c r="AQ115" s="91"/>
      <c r="AR115" s="144">
        <f>SUM(AS115:BD115)</f>
        <v>0</v>
      </c>
      <c r="AS115" s="144">
        <v>0</v>
      </c>
      <c r="AT115" s="144">
        <v>0</v>
      </c>
      <c r="AU115" s="144">
        <v>0</v>
      </c>
      <c r="AV115" s="144">
        <v>0</v>
      </c>
      <c r="AW115" s="144">
        <v>0</v>
      </c>
      <c r="AX115" s="144">
        <v>0</v>
      </c>
      <c r="AY115" s="144">
        <v>0</v>
      </c>
      <c r="AZ115" s="144">
        <v>0</v>
      </c>
      <c r="BA115" s="144">
        <v>0</v>
      </c>
      <c r="BB115" s="144">
        <v>0</v>
      </c>
      <c r="BC115" s="144">
        <v>0</v>
      </c>
      <c r="BD115" s="144">
        <v>0</v>
      </c>
      <c r="BE115" s="94"/>
      <c r="BF115" s="144"/>
      <c r="BG115" s="144"/>
      <c r="BH115" s="144"/>
      <c r="BI115" s="144"/>
      <c r="BJ115" s="144"/>
      <c r="BK115" s="144"/>
      <c r="BL115" s="144"/>
      <c r="BM115" s="144"/>
      <c r="BN115" s="144"/>
      <c r="BO115" s="144"/>
      <c r="BP115" s="144"/>
      <c r="BQ115" s="144"/>
      <c r="BR115" s="144"/>
      <c r="BS115" s="94"/>
      <c r="BT115" s="144">
        <f>SUM(BU115:BZ115)</f>
        <v>0</v>
      </c>
      <c r="BU115" s="144"/>
      <c r="BV115" s="144"/>
      <c r="BW115" s="144"/>
      <c r="BX115" s="144"/>
      <c r="BY115" s="144"/>
      <c r="BZ115" s="144"/>
      <c r="CB115" s="144">
        <v>0</v>
      </c>
    </row>
    <row r="116" spans="1:80" ht="12.75" thickTop="1">
      <c r="A116" s="88" t="s">
        <v>305</v>
      </c>
      <c r="B116" s="144">
        <f>SUM(C116:N116)</f>
        <v>0</v>
      </c>
      <c r="C116" s="144">
        <f t="shared" ref="C116:N118" si="210">SUM(E116:P116)</f>
        <v>0</v>
      </c>
      <c r="D116" s="144">
        <f t="shared" si="210"/>
        <v>0</v>
      </c>
      <c r="E116" s="144">
        <f t="shared" si="210"/>
        <v>0</v>
      </c>
      <c r="F116" s="144">
        <f t="shared" si="210"/>
        <v>0</v>
      </c>
      <c r="G116" s="144">
        <f t="shared" si="210"/>
        <v>0</v>
      </c>
      <c r="H116" s="144">
        <f t="shared" si="210"/>
        <v>0</v>
      </c>
      <c r="I116" s="144">
        <f t="shared" si="210"/>
        <v>0</v>
      </c>
      <c r="J116" s="144">
        <f t="shared" si="210"/>
        <v>0</v>
      </c>
      <c r="K116" s="144">
        <f t="shared" si="210"/>
        <v>0</v>
      </c>
      <c r="L116" s="144">
        <f t="shared" si="210"/>
        <v>0</v>
      </c>
      <c r="M116" s="144">
        <f t="shared" si="210"/>
        <v>0</v>
      </c>
      <c r="N116" s="144">
        <f t="shared" si="210"/>
        <v>0</v>
      </c>
      <c r="O116" s="91"/>
      <c r="P116" s="144">
        <f>SUM(Q116:AB116)</f>
        <v>0</v>
      </c>
      <c r="Q116" s="144">
        <v>0</v>
      </c>
      <c r="R116" s="144">
        <v>0</v>
      </c>
      <c r="S116" s="144">
        <v>0</v>
      </c>
      <c r="T116" s="144">
        <v>0</v>
      </c>
      <c r="U116" s="144">
        <v>0</v>
      </c>
      <c r="V116" s="144">
        <v>0</v>
      </c>
      <c r="W116" s="144">
        <v>0</v>
      </c>
      <c r="X116" s="144">
        <v>0</v>
      </c>
      <c r="Y116" s="144">
        <v>0</v>
      </c>
      <c r="Z116" s="144">
        <v>0</v>
      </c>
      <c r="AA116" s="144">
        <v>0</v>
      </c>
      <c r="AB116" s="144">
        <v>0</v>
      </c>
      <c r="AC116" s="91"/>
      <c r="AD116" s="144">
        <f>SUM(AE116:AP116)</f>
        <v>0</v>
      </c>
      <c r="AE116" s="144">
        <v>0</v>
      </c>
      <c r="AF116" s="144">
        <v>0</v>
      </c>
      <c r="AG116" s="144">
        <v>0</v>
      </c>
      <c r="AH116" s="144">
        <v>0</v>
      </c>
      <c r="AI116" s="144">
        <v>0</v>
      </c>
      <c r="AJ116" s="144">
        <v>0</v>
      </c>
      <c r="AK116" s="144">
        <v>0</v>
      </c>
      <c r="AL116" s="144"/>
      <c r="AM116" s="144">
        <v>0</v>
      </c>
      <c r="AN116" s="144">
        <v>0</v>
      </c>
      <c r="AO116" s="144">
        <v>0</v>
      </c>
      <c r="AP116" s="144">
        <v>0</v>
      </c>
      <c r="AQ116" s="91"/>
      <c r="AR116" s="144">
        <f>SUM(AS116:BD116)</f>
        <v>0</v>
      </c>
      <c r="AS116" s="144">
        <v>0</v>
      </c>
      <c r="AT116" s="144">
        <v>0</v>
      </c>
      <c r="AU116" s="144">
        <v>0</v>
      </c>
      <c r="AV116" s="144">
        <v>0</v>
      </c>
      <c r="AW116" s="144">
        <v>0</v>
      </c>
      <c r="AX116" s="144">
        <v>0</v>
      </c>
      <c r="AY116" s="144">
        <v>0</v>
      </c>
      <c r="AZ116" s="144">
        <v>0</v>
      </c>
      <c r="BA116" s="144">
        <v>0</v>
      </c>
      <c r="BB116" s="144">
        <v>0</v>
      </c>
      <c r="BC116" s="144">
        <v>0</v>
      </c>
      <c r="BD116" s="144">
        <v>0</v>
      </c>
      <c r="BE116" s="94"/>
      <c r="BF116" s="144"/>
      <c r="BG116" s="144"/>
      <c r="BH116" s="144"/>
      <c r="BI116" s="144"/>
      <c r="BJ116" s="144"/>
      <c r="BK116" s="144"/>
      <c r="BL116" s="144"/>
      <c r="BM116" s="144"/>
      <c r="BN116" s="144"/>
      <c r="BO116" s="144"/>
      <c r="BP116" s="144"/>
      <c r="BQ116" s="144"/>
      <c r="BR116" s="144"/>
      <c r="BS116" s="94"/>
      <c r="BT116" s="144">
        <f>SUM(BU116:BZ116)</f>
        <v>0</v>
      </c>
      <c r="BU116" s="144"/>
      <c r="BV116" s="144"/>
      <c r="BW116" s="144"/>
      <c r="BX116" s="144"/>
      <c r="BY116" s="144"/>
      <c r="BZ116" s="144"/>
      <c r="CA116" s="94"/>
      <c r="CB116" s="144"/>
    </row>
    <row r="117" spans="1:80" ht="15" customHeight="1" thickBot="1">
      <c r="A117" s="88" t="s">
        <v>306</v>
      </c>
      <c r="B117" s="173">
        <f>SUM(C117:N117)</f>
        <v>0</v>
      </c>
      <c r="C117" s="173">
        <f t="shared" si="210"/>
        <v>0</v>
      </c>
      <c r="D117" s="173">
        <f t="shared" si="210"/>
        <v>0</v>
      </c>
      <c r="E117" s="173">
        <f t="shared" si="210"/>
        <v>0</v>
      </c>
      <c r="F117" s="173">
        <f t="shared" si="210"/>
        <v>0</v>
      </c>
      <c r="G117" s="173">
        <f t="shared" si="210"/>
        <v>0</v>
      </c>
      <c r="H117" s="173">
        <f t="shared" si="210"/>
        <v>0</v>
      </c>
      <c r="I117" s="173">
        <f t="shared" si="210"/>
        <v>0</v>
      </c>
      <c r="J117" s="173">
        <f t="shared" si="210"/>
        <v>0</v>
      </c>
      <c r="K117" s="173">
        <f t="shared" si="210"/>
        <v>0</v>
      </c>
      <c r="L117" s="173">
        <f t="shared" si="210"/>
        <v>0</v>
      </c>
      <c r="M117" s="173">
        <f t="shared" si="210"/>
        <v>0</v>
      </c>
      <c r="N117" s="173">
        <f t="shared" si="210"/>
        <v>0</v>
      </c>
      <c r="O117" s="91"/>
      <c r="P117" s="173">
        <f>SUM(Q117:AB117)</f>
        <v>0</v>
      </c>
      <c r="Q117" s="173">
        <f t="shared" ref="Q117:AD117" si="211">SUM(S117:AC117)</f>
        <v>0</v>
      </c>
      <c r="R117" s="173">
        <f t="shared" si="211"/>
        <v>0</v>
      </c>
      <c r="S117" s="173">
        <f t="shared" si="211"/>
        <v>0</v>
      </c>
      <c r="T117" s="173">
        <f t="shared" si="211"/>
        <v>0</v>
      </c>
      <c r="U117" s="173">
        <f t="shared" si="211"/>
        <v>0</v>
      </c>
      <c r="V117" s="173">
        <f t="shared" si="211"/>
        <v>0</v>
      </c>
      <c r="W117" s="173">
        <f t="shared" si="211"/>
        <v>0</v>
      </c>
      <c r="X117" s="173">
        <f t="shared" si="211"/>
        <v>0</v>
      </c>
      <c r="Y117" s="173">
        <f t="shared" si="211"/>
        <v>0</v>
      </c>
      <c r="Z117" s="173">
        <f t="shared" si="211"/>
        <v>0</v>
      </c>
      <c r="AA117" s="173">
        <f t="shared" si="211"/>
        <v>0</v>
      </c>
      <c r="AB117" s="173">
        <f t="shared" si="211"/>
        <v>0</v>
      </c>
      <c r="AC117" s="91"/>
      <c r="AD117" s="173">
        <f t="shared" si="211"/>
        <v>0</v>
      </c>
      <c r="AE117" s="173">
        <v>0</v>
      </c>
      <c r="AF117" s="173">
        <v>0</v>
      </c>
      <c r="AG117" s="173">
        <v>0</v>
      </c>
      <c r="AH117" s="173">
        <v>0</v>
      </c>
      <c r="AI117" s="173">
        <v>0</v>
      </c>
      <c r="AJ117" s="173">
        <v>0</v>
      </c>
      <c r="AK117" s="173">
        <v>0</v>
      </c>
      <c r="AL117" s="173">
        <v>0</v>
      </c>
      <c r="AM117" s="173">
        <v>0</v>
      </c>
      <c r="AN117" s="173">
        <v>0</v>
      </c>
      <c r="AO117" s="173">
        <v>0</v>
      </c>
      <c r="AP117" s="173">
        <v>0</v>
      </c>
      <c r="AQ117" s="91"/>
      <c r="AR117" s="173">
        <f>SUM(AS117:BD119)</f>
        <v>184941</v>
      </c>
      <c r="AS117" s="173">
        <v>0</v>
      </c>
      <c r="AT117" s="173">
        <v>0</v>
      </c>
      <c r="AU117" s="173">
        <v>0</v>
      </c>
      <c r="AV117" s="173">
        <v>0</v>
      </c>
      <c r="AW117" s="173">
        <v>0</v>
      </c>
      <c r="AX117" s="173">
        <v>0</v>
      </c>
      <c r="AY117" s="173">
        <v>0</v>
      </c>
      <c r="AZ117" s="173">
        <v>0</v>
      </c>
      <c r="BA117" s="173">
        <v>0</v>
      </c>
      <c r="BB117" s="173">
        <v>163933</v>
      </c>
      <c r="BC117" s="173">
        <v>21008</v>
      </c>
      <c r="BD117" s="173">
        <v>0</v>
      </c>
      <c r="BE117" s="94"/>
      <c r="BF117" s="173"/>
      <c r="BG117" s="173"/>
      <c r="BH117" s="173"/>
      <c r="BI117" s="173"/>
      <c r="BJ117" s="173"/>
      <c r="BK117" s="173"/>
      <c r="BL117" s="173"/>
      <c r="BM117" s="173"/>
      <c r="BN117" s="173"/>
      <c r="BO117" s="173"/>
      <c r="BP117" s="173"/>
      <c r="BQ117" s="173"/>
      <c r="BR117" s="173"/>
      <c r="BS117" s="94"/>
      <c r="BT117" s="173">
        <f>SUM(BU117:BZ117)</f>
        <v>0</v>
      </c>
      <c r="BU117" s="173"/>
      <c r="BV117" s="173"/>
      <c r="BW117" s="173"/>
      <c r="BX117" s="173"/>
      <c r="BY117" s="173"/>
      <c r="BZ117" s="173"/>
      <c r="CB117" s="173">
        <v>0</v>
      </c>
    </row>
    <row r="118" spans="1:80" ht="13.5" hidden="1" thickTop="1" thickBot="1">
      <c r="A118" s="88" t="s">
        <v>307</v>
      </c>
      <c r="B118" s="173">
        <f>SUM(C118:N118)</f>
        <v>0</v>
      </c>
      <c r="C118" s="173">
        <f t="shared" si="210"/>
        <v>0</v>
      </c>
      <c r="D118" s="173">
        <f t="shared" si="210"/>
        <v>0</v>
      </c>
      <c r="E118" s="173">
        <f t="shared" si="210"/>
        <v>0</v>
      </c>
      <c r="F118" s="173">
        <f t="shared" si="210"/>
        <v>0</v>
      </c>
      <c r="G118" s="173">
        <f t="shared" si="210"/>
        <v>0</v>
      </c>
      <c r="H118" s="173">
        <f t="shared" si="210"/>
        <v>0</v>
      </c>
      <c r="I118" s="173">
        <f t="shared" si="210"/>
        <v>0</v>
      </c>
      <c r="J118" s="173">
        <f t="shared" si="210"/>
        <v>0</v>
      </c>
      <c r="K118" s="173">
        <f t="shared" si="210"/>
        <v>0</v>
      </c>
      <c r="L118" s="173">
        <f t="shared" si="210"/>
        <v>0</v>
      </c>
      <c r="M118" s="173">
        <f t="shared" si="210"/>
        <v>0</v>
      </c>
      <c r="N118" s="173">
        <f t="shared" si="210"/>
        <v>0</v>
      </c>
      <c r="O118" s="91"/>
      <c r="P118" s="173">
        <f>SUM(Q118:AB118)</f>
        <v>0</v>
      </c>
      <c r="Q118" s="85">
        <f t="shared" ref="Q118:AB119" si="212">SUM(V118:AC118)</f>
        <v>0</v>
      </c>
      <c r="R118" s="85">
        <f t="shared" si="212"/>
        <v>0</v>
      </c>
      <c r="S118" s="85">
        <f t="shared" si="212"/>
        <v>0</v>
      </c>
      <c r="T118" s="85">
        <f t="shared" si="212"/>
        <v>0</v>
      </c>
      <c r="U118" s="85">
        <f t="shared" si="212"/>
        <v>0</v>
      </c>
      <c r="V118" s="85">
        <f t="shared" si="212"/>
        <v>0</v>
      </c>
      <c r="W118" s="85">
        <f t="shared" si="212"/>
        <v>0</v>
      </c>
      <c r="X118" s="85">
        <f t="shared" si="212"/>
        <v>0</v>
      </c>
      <c r="Y118" s="85">
        <f t="shared" si="212"/>
        <v>0</v>
      </c>
      <c r="Z118" s="85">
        <f t="shared" si="212"/>
        <v>0</v>
      </c>
      <c r="AA118" s="85">
        <f t="shared" si="212"/>
        <v>0</v>
      </c>
      <c r="AB118" s="85">
        <f t="shared" si="212"/>
        <v>0</v>
      </c>
      <c r="AC118" s="91"/>
      <c r="AD118" s="85">
        <f>SUM(AI118:AP118)</f>
        <v>0</v>
      </c>
      <c r="AE118" s="85"/>
      <c r="AF118" s="85"/>
      <c r="AG118" s="85"/>
      <c r="AH118" s="85"/>
      <c r="AI118" s="85"/>
      <c r="AJ118" s="85"/>
      <c r="AK118" s="85">
        <f t="shared" ref="AK118:AP119" si="213">SUM(AM118:AX118)</f>
        <v>0</v>
      </c>
      <c r="AL118" s="85">
        <f t="shared" si="213"/>
        <v>0</v>
      </c>
      <c r="AM118" s="85">
        <f t="shared" si="213"/>
        <v>0</v>
      </c>
      <c r="AN118" s="85">
        <f t="shared" si="213"/>
        <v>0</v>
      </c>
      <c r="AO118" s="85">
        <f t="shared" si="213"/>
        <v>0</v>
      </c>
      <c r="AP118" s="85">
        <f t="shared" si="213"/>
        <v>0</v>
      </c>
      <c r="AQ118" s="91"/>
      <c r="AR118" s="85"/>
      <c r="AS118" s="85">
        <f t="shared" ref="AS118:BD119" si="214">SUM(AU118:BF118)</f>
        <v>0</v>
      </c>
      <c r="AT118" s="85">
        <f t="shared" si="214"/>
        <v>0</v>
      </c>
      <c r="AU118" s="85">
        <f t="shared" si="214"/>
        <v>0</v>
      </c>
      <c r="AV118" s="85">
        <f t="shared" si="214"/>
        <v>0</v>
      </c>
      <c r="AW118" s="85">
        <f t="shared" si="214"/>
        <v>0</v>
      </c>
      <c r="AX118" s="85">
        <f t="shared" si="214"/>
        <v>0</v>
      </c>
      <c r="AY118" s="85">
        <f t="shared" si="214"/>
        <v>0</v>
      </c>
      <c r="AZ118" s="85">
        <f t="shared" si="214"/>
        <v>0</v>
      </c>
      <c r="BA118" s="85">
        <f t="shared" si="214"/>
        <v>0</v>
      </c>
      <c r="BB118" s="85">
        <f t="shared" si="214"/>
        <v>0</v>
      </c>
      <c r="BC118" s="85">
        <f t="shared" si="214"/>
        <v>0</v>
      </c>
      <c r="BD118" s="85">
        <f t="shared" si="214"/>
        <v>0</v>
      </c>
      <c r="BE118" s="94"/>
      <c r="BF118" s="85">
        <f t="shared" ref="BF118:BF119" si="215">SUM(BG118:BR118)</f>
        <v>0</v>
      </c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76"/>
      <c r="BR118" s="72"/>
      <c r="BS118" s="94"/>
      <c r="BT118" s="85">
        <f>SUM(BU118:BZ118)</f>
        <v>0</v>
      </c>
      <c r="BU118" s="85"/>
      <c r="BV118" s="85"/>
      <c r="BW118" s="85"/>
      <c r="BX118" s="85"/>
      <c r="BY118" s="76"/>
      <c r="BZ118" s="72"/>
      <c r="CB118" s="72"/>
    </row>
    <row r="119" spans="1:80" ht="13.5" hidden="1" thickTop="1" thickBot="1">
      <c r="A119" s="88" t="s">
        <v>308</v>
      </c>
      <c r="B119" s="85">
        <f>SUM(AC119:AJ119)</f>
        <v>0</v>
      </c>
      <c r="C119" s="85">
        <f t="shared" ref="C119:N119" si="216">SUM(S119:Z119)</f>
        <v>0</v>
      </c>
      <c r="D119" s="85">
        <f t="shared" si="216"/>
        <v>0</v>
      </c>
      <c r="E119" s="85">
        <f t="shared" si="216"/>
        <v>0</v>
      </c>
      <c r="F119" s="85">
        <f t="shared" si="216"/>
        <v>0</v>
      </c>
      <c r="G119" s="85">
        <f t="shared" si="216"/>
        <v>0</v>
      </c>
      <c r="H119" s="85">
        <f t="shared" si="216"/>
        <v>0</v>
      </c>
      <c r="I119" s="85">
        <f t="shared" si="216"/>
        <v>0</v>
      </c>
      <c r="J119" s="85">
        <f t="shared" si="216"/>
        <v>0</v>
      </c>
      <c r="K119" s="85">
        <f t="shared" si="216"/>
        <v>0</v>
      </c>
      <c r="L119" s="85">
        <f t="shared" si="216"/>
        <v>0</v>
      </c>
      <c r="M119" s="85">
        <f t="shared" si="216"/>
        <v>0</v>
      </c>
      <c r="N119" s="85">
        <f t="shared" si="216"/>
        <v>0</v>
      </c>
      <c r="O119" s="91"/>
      <c r="P119" s="85">
        <f>SUM(AE119:AL119)</f>
        <v>0</v>
      </c>
      <c r="Q119" s="85">
        <f t="shared" si="212"/>
        <v>0</v>
      </c>
      <c r="R119" s="85">
        <f t="shared" si="212"/>
        <v>0</v>
      </c>
      <c r="S119" s="85">
        <f t="shared" si="212"/>
        <v>0</v>
      </c>
      <c r="T119" s="85">
        <f t="shared" si="212"/>
        <v>0</v>
      </c>
      <c r="U119" s="85">
        <f t="shared" si="212"/>
        <v>0</v>
      </c>
      <c r="V119" s="85">
        <f t="shared" si="212"/>
        <v>0</v>
      </c>
      <c r="W119" s="85">
        <f t="shared" si="212"/>
        <v>0</v>
      </c>
      <c r="X119" s="85">
        <f t="shared" si="212"/>
        <v>0</v>
      </c>
      <c r="Y119" s="85">
        <f t="shared" si="212"/>
        <v>0</v>
      </c>
      <c r="Z119" s="85">
        <f t="shared" si="212"/>
        <v>0</v>
      </c>
      <c r="AA119" s="85">
        <f t="shared" si="212"/>
        <v>0</v>
      </c>
      <c r="AB119" s="85">
        <f t="shared" si="212"/>
        <v>0</v>
      </c>
      <c r="AC119" s="91"/>
      <c r="AD119" s="85">
        <f>SUM(AI119:AP119)</f>
        <v>0</v>
      </c>
      <c r="AE119" s="85"/>
      <c r="AF119" s="85"/>
      <c r="AG119" s="85"/>
      <c r="AH119" s="85"/>
      <c r="AI119" s="85"/>
      <c r="AJ119" s="85"/>
      <c r="AK119" s="85">
        <f t="shared" si="213"/>
        <v>0</v>
      </c>
      <c r="AL119" s="85">
        <f t="shared" si="213"/>
        <v>0</v>
      </c>
      <c r="AM119" s="85">
        <f t="shared" si="213"/>
        <v>0</v>
      </c>
      <c r="AN119" s="85">
        <f t="shared" si="213"/>
        <v>0</v>
      </c>
      <c r="AO119" s="85">
        <f t="shared" si="213"/>
        <v>0</v>
      </c>
      <c r="AP119" s="85">
        <f t="shared" si="213"/>
        <v>0</v>
      </c>
      <c r="AQ119" s="91"/>
      <c r="AR119" s="85"/>
      <c r="AS119" s="85">
        <f t="shared" si="214"/>
        <v>0</v>
      </c>
      <c r="AT119" s="85">
        <f t="shared" si="214"/>
        <v>0</v>
      </c>
      <c r="AU119" s="85">
        <f t="shared" si="214"/>
        <v>0</v>
      </c>
      <c r="AV119" s="85">
        <f t="shared" si="214"/>
        <v>0</v>
      </c>
      <c r="AW119" s="85">
        <f t="shared" si="214"/>
        <v>0</v>
      </c>
      <c r="AX119" s="85">
        <f t="shared" si="214"/>
        <v>0</v>
      </c>
      <c r="AY119" s="85">
        <f t="shared" si="214"/>
        <v>0</v>
      </c>
      <c r="AZ119" s="85">
        <f t="shared" si="214"/>
        <v>0</v>
      </c>
      <c r="BA119" s="85">
        <f t="shared" si="214"/>
        <v>0</v>
      </c>
      <c r="BB119" s="85">
        <f t="shared" si="214"/>
        <v>0</v>
      </c>
      <c r="BC119" s="85">
        <f t="shared" si="214"/>
        <v>0</v>
      </c>
      <c r="BD119" s="85">
        <f t="shared" si="214"/>
        <v>0</v>
      </c>
      <c r="BE119" s="94"/>
      <c r="BF119" s="85">
        <f t="shared" si="215"/>
        <v>0</v>
      </c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76"/>
      <c r="BR119" s="72"/>
      <c r="BS119" s="94"/>
      <c r="BT119" s="85">
        <f>SUM(BV119:BZ119)</f>
        <v>0</v>
      </c>
      <c r="BU119" s="85"/>
      <c r="BV119" s="85"/>
      <c r="BW119" s="85"/>
      <c r="BX119" s="85"/>
      <c r="BY119" s="76"/>
      <c r="BZ119" s="76"/>
      <c r="CB119" s="76"/>
    </row>
    <row r="120" spans="1:80" ht="13.5" thickTop="1" thickBot="1"/>
    <row r="121" spans="1:80" customFormat="1" ht="13.15" hidden="1" customHeight="1" thickTop="1" thickBot="1">
      <c r="A121" s="90" t="s">
        <v>309</v>
      </c>
      <c r="B121" s="75">
        <f t="shared" ref="B121:N121" si="217">SUM(B122:B123)</f>
        <v>0</v>
      </c>
      <c r="C121" s="75">
        <f t="shared" ref="C121:D121" si="218">SUM(C122:C123)</f>
        <v>0</v>
      </c>
      <c r="D121" s="75">
        <f t="shared" si="218"/>
        <v>0</v>
      </c>
      <c r="E121" s="75">
        <f t="shared" si="217"/>
        <v>0</v>
      </c>
      <c r="F121" s="75">
        <f t="shared" ref="F121:G121" si="219">SUM(F122:F123)</f>
        <v>0</v>
      </c>
      <c r="G121" s="75">
        <f t="shared" si="219"/>
        <v>0</v>
      </c>
      <c r="H121" s="75">
        <f t="shared" si="217"/>
        <v>0</v>
      </c>
      <c r="I121" s="75">
        <f t="shared" ref="I121:J121" si="220">SUM(I122:I123)</f>
        <v>0</v>
      </c>
      <c r="J121" s="75">
        <f t="shared" si="220"/>
        <v>0</v>
      </c>
      <c r="K121" s="75">
        <f t="shared" si="217"/>
        <v>0</v>
      </c>
      <c r="L121" s="75">
        <f t="shared" ref="L121:M121" si="221">SUM(L122:L123)</f>
        <v>0</v>
      </c>
      <c r="M121" s="75">
        <f t="shared" si="221"/>
        <v>0</v>
      </c>
      <c r="N121" s="75">
        <f t="shared" si="217"/>
        <v>0</v>
      </c>
      <c r="O121" s="73"/>
      <c r="P121" s="75">
        <f t="shared" ref="P121:AB121" si="222">SUM(P122:P123)</f>
        <v>0</v>
      </c>
      <c r="Q121" s="75">
        <f t="shared" ref="Q121" si="223">SUM(Q122:Q123)</f>
        <v>0</v>
      </c>
      <c r="R121" s="75">
        <f t="shared" si="222"/>
        <v>0</v>
      </c>
      <c r="S121" s="75">
        <f t="shared" ref="S121:T121" si="224">SUM(S122:S123)</f>
        <v>0</v>
      </c>
      <c r="T121" s="75">
        <f t="shared" si="224"/>
        <v>0</v>
      </c>
      <c r="U121" s="75">
        <f t="shared" si="222"/>
        <v>0</v>
      </c>
      <c r="V121" s="75">
        <f t="shared" ref="V121:W121" si="225">SUM(V122:V123)</f>
        <v>0</v>
      </c>
      <c r="W121" s="75">
        <f t="shared" si="225"/>
        <v>0</v>
      </c>
      <c r="X121" s="75">
        <f t="shared" si="222"/>
        <v>0</v>
      </c>
      <c r="Y121" s="75">
        <f t="shared" si="222"/>
        <v>0</v>
      </c>
      <c r="Z121" s="75">
        <f t="shared" si="222"/>
        <v>0</v>
      </c>
      <c r="AA121" s="75">
        <f t="shared" si="222"/>
        <v>0</v>
      </c>
      <c r="AB121" s="75">
        <f t="shared" si="222"/>
        <v>0</v>
      </c>
      <c r="AC121" s="73"/>
      <c r="AD121" s="75">
        <f>SUM(AD122:AD123)</f>
        <v>0</v>
      </c>
      <c r="AE121" s="75">
        <f>SUM(AE122:AE123)</f>
        <v>0</v>
      </c>
      <c r="AF121" s="75">
        <f t="shared" ref="AF121:AP121" si="226">SUM(AF122:AF123)</f>
        <v>0</v>
      </c>
      <c r="AG121" s="75">
        <f t="shared" si="226"/>
        <v>0</v>
      </c>
      <c r="AH121" s="75">
        <f t="shared" si="226"/>
        <v>0</v>
      </c>
      <c r="AI121" s="75">
        <f t="shared" si="226"/>
        <v>0</v>
      </c>
      <c r="AJ121" s="75">
        <f t="shared" si="226"/>
        <v>0</v>
      </c>
      <c r="AK121" s="75">
        <f t="shared" si="226"/>
        <v>0</v>
      </c>
      <c r="AL121" s="75">
        <f t="shared" si="226"/>
        <v>0</v>
      </c>
      <c r="AM121" s="75">
        <f t="shared" si="226"/>
        <v>0</v>
      </c>
      <c r="AN121" s="75">
        <f t="shared" si="226"/>
        <v>0</v>
      </c>
      <c r="AO121" s="75">
        <f t="shared" si="226"/>
        <v>0</v>
      </c>
      <c r="AP121" s="75">
        <f t="shared" si="226"/>
        <v>0</v>
      </c>
      <c r="AQ121" s="73"/>
      <c r="AR121" s="75">
        <f>SUM(AS121:BD121)</f>
        <v>0</v>
      </c>
      <c r="AS121" s="75">
        <f t="shared" ref="AS121:BD121" si="227">+AS123</f>
        <v>0</v>
      </c>
      <c r="AT121" s="75">
        <f t="shared" si="227"/>
        <v>0</v>
      </c>
      <c r="AU121" s="75">
        <f t="shared" si="227"/>
        <v>0</v>
      </c>
      <c r="AV121" s="75">
        <f t="shared" si="227"/>
        <v>0</v>
      </c>
      <c r="AW121" s="75">
        <f t="shared" si="227"/>
        <v>0</v>
      </c>
      <c r="AX121" s="75">
        <f t="shared" si="227"/>
        <v>0</v>
      </c>
      <c r="AY121" s="75">
        <f t="shared" si="227"/>
        <v>0</v>
      </c>
      <c r="AZ121" s="75">
        <f t="shared" si="227"/>
        <v>0</v>
      </c>
      <c r="BA121" s="75">
        <f t="shared" si="227"/>
        <v>0</v>
      </c>
      <c r="BB121" s="75">
        <f t="shared" si="227"/>
        <v>0</v>
      </c>
      <c r="BC121" s="75">
        <f t="shared" si="227"/>
        <v>0</v>
      </c>
      <c r="BD121" s="75">
        <f t="shared" si="227"/>
        <v>0</v>
      </c>
      <c r="BE121" s="65"/>
      <c r="BF121" s="75">
        <f>+BF123</f>
        <v>0</v>
      </c>
      <c r="BG121" s="75">
        <f t="shared" ref="BG121:BR121" si="228">SUM(BG122:BG127)</f>
        <v>0</v>
      </c>
      <c r="BH121" s="75">
        <f t="shared" si="228"/>
        <v>0</v>
      </c>
      <c r="BI121" s="75">
        <f t="shared" si="228"/>
        <v>0</v>
      </c>
      <c r="BJ121" s="75">
        <f t="shared" si="228"/>
        <v>0</v>
      </c>
      <c r="BK121" s="75">
        <f t="shared" si="228"/>
        <v>0</v>
      </c>
      <c r="BL121" s="75">
        <f t="shared" si="228"/>
        <v>0</v>
      </c>
      <c r="BM121" s="75">
        <f t="shared" si="228"/>
        <v>0</v>
      </c>
      <c r="BN121" s="75">
        <f t="shared" si="228"/>
        <v>0</v>
      </c>
      <c r="BO121" s="75">
        <f t="shared" si="228"/>
        <v>0</v>
      </c>
      <c r="BP121" s="75">
        <f t="shared" si="228"/>
        <v>0</v>
      </c>
      <c r="BQ121" s="75">
        <f t="shared" si="228"/>
        <v>0</v>
      </c>
      <c r="BR121" s="75">
        <f t="shared" si="228"/>
        <v>0</v>
      </c>
      <c r="BS121" s="65"/>
      <c r="BT121" s="75">
        <f>SUM(BU121:BZ121)</f>
        <v>0</v>
      </c>
      <c r="BU121" s="75">
        <f t="shared" ref="BU121:BZ121" si="229">SUM(BU122:BU127)</f>
        <v>0</v>
      </c>
      <c r="BV121" s="75">
        <f t="shared" si="229"/>
        <v>0</v>
      </c>
      <c r="BW121" s="75">
        <f t="shared" si="229"/>
        <v>0</v>
      </c>
      <c r="BX121" s="75">
        <f t="shared" si="229"/>
        <v>0</v>
      </c>
      <c r="BY121" s="75">
        <f t="shared" si="229"/>
        <v>0</v>
      </c>
      <c r="BZ121" s="75">
        <f t="shared" si="229"/>
        <v>0</v>
      </c>
      <c r="CB121" s="75">
        <f>SUM(CB122:CB127)</f>
        <v>0</v>
      </c>
    </row>
    <row r="122" spans="1:80" ht="12.75" hidden="1" thickBot="1">
      <c r="A122" s="71" t="s">
        <v>310</v>
      </c>
      <c r="B122" s="144">
        <f>SUM(C122:AJ122)</f>
        <v>0</v>
      </c>
      <c r="C122" s="144">
        <f t="shared" ref="C122:N122" si="230">SUM(E122:Z122)</f>
        <v>0</v>
      </c>
      <c r="D122" s="144">
        <f t="shared" si="230"/>
        <v>0</v>
      </c>
      <c r="E122" s="144">
        <f t="shared" si="230"/>
        <v>0</v>
      </c>
      <c r="F122" s="144">
        <f t="shared" si="230"/>
        <v>0</v>
      </c>
      <c r="G122" s="144">
        <f t="shared" si="230"/>
        <v>0</v>
      </c>
      <c r="H122" s="144">
        <f t="shared" si="230"/>
        <v>0</v>
      </c>
      <c r="I122" s="144">
        <f t="shared" si="230"/>
        <v>0</v>
      </c>
      <c r="J122" s="144">
        <f t="shared" si="230"/>
        <v>0</v>
      </c>
      <c r="K122" s="144">
        <f t="shared" si="230"/>
        <v>0</v>
      </c>
      <c r="L122" s="144">
        <f t="shared" si="230"/>
        <v>0</v>
      </c>
      <c r="M122" s="144">
        <f t="shared" si="230"/>
        <v>0</v>
      </c>
      <c r="N122" s="144">
        <f t="shared" si="230"/>
        <v>0</v>
      </c>
      <c r="O122" s="71"/>
      <c r="P122" s="144">
        <f>SUM(Q122:AL122)</f>
        <v>0</v>
      </c>
      <c r="Q122" s="144">
        <f t="shared" ref="Q122:AB122" si="231">SUM(R122:AC122)</f>
        <v>0</v>
      </c>
      <c r="R122" s="144">
        <f t="shared" si="231"/>
        <v>0</v>
      </c>
      <c r="S122" s="144">
        <f t="shared" si="231"/>
        <v>0</v>
      </c>
      <c r="T122" s="144">
        <f t="shared" si="231"/>
        <v>0</v>
      </c>
      <c r="U122" s="144">
        <f t="shared" si="231"/>
        <v>0</v>
      </c>
      <c r="V122" s="144">
        <f t="shared" si="231"/>
        <v>0</v>
      </c>
      <c r="W122" s="144">
        <f t="shared" si="231"/>
        <v>0</v>
      </c>
      <c r="X122" s="144">
        <f t="shared" si="231"/>
        <v>0</v>
      </c>
      <c r="Y122" s="144">
        <f t="shared" si="231"/>
        <v>0</v>
      </c>
      <c r="Z122" s="144">
        <f t="shared" si="231"/>
        <v>0</v>
      </c>
      <c r="AA122" s="144">
        <f t="shared" si="231"/>
        <v>0</v>
      </c>
      <c r="AB122" s="144">
        <f t="shared" si="231"/>
        <v>0</v>
      </c>
      <c r="AC122" s="71"/>
      <c r="AD122" s="144">
        <f>SUM(AE122:AP122)</f>
        <v>0</v>
      </c>
      <c r="AE122" s="144"/>
      <c r="AF122" s="144"/>
      <c r="AG122" s="144"/>
      <c r="AH122" s="144"/>
      <c r="AI122" s="144"/>
      <c r="AJ122" s="144"/>
      <c r="AK122" s="144">
        <f t="shared" ref="AK122:AP122" si="232">SUM(AM122:AX122)</f>
        <v>0</v>
      </c>
      <c r="AL122" s="144">
        <f t="shared" si="232"/>
        <v>0</v>
      </c>
      <c r="AM122" s="144">
        <f t="shared" si="232"/>
        <v>0</v>
      </c>
      <c r="AN122" s="144">
        <f t="shared" si="232"/>
        <v>0</v>
      </c>
      <c r="AO122" s="144">
        <f t="shared" si="232"/>
        <v>0</v>
      </c>
      <c r="AP122" s="144">
        <f t="shared" si="232"/>
        <v>0</v>
      </c>
      <c r="AQ122" s="71"/>
      <c r="AR122" s="144"/>
      <c r="AS122" s="144">
        <f t="shared" ref="AS122:BD122" si="233">SUM(AU122:BF122)</f>
        <v>0</v>
      </c>
      <c r="AT122" s="144">
        <f t="shared" si="233"/>
        <v>0</v>
      </c>
      <c r="AU122" s="144">
        <f t="shared" si="233"/>
        <v>0</v>
      </c>
      <c r="AV122" s="144">
        <f t="shared" si="233"/>
        <v>0</v>
      </c>
      <c r="AW122" s="144">
        <f t="shared" si="233"/>
        <v>0</v>
      </c>
      <c r="AX122" s="144">
        <f t="shared" si="233"/>
        <v>0</v>
      </c>
      <c r="AY122" s="144">
        <f t="shared" si="233"/>
        <v>0</v>
      </c>
      <c r="AZ122" s="144">
        <f t="shared" si="233"/>
        <v>0</v>
      </c>
      <c r="BA122" s="144">
        <f t="shared" si="233"/>
        <v>0</v>
      </c>
      <c r="BB122" s="144">
        <f t="shared" si="233"/>
        <v>0</v>
      </c>
      <c r="BC122" s="144">
        <f t="shared" si="233"/>
        <v>0</v>
      </c>
      <c r="BD122" s="144">
        <f t="shared" si="233"/>
        <v>0</v>
      </c>
      <c r="BE122" s="94"/>
      <c r="BF122" s="144">
        <f>SUM(BG122:BR122)</f>
        <v>0</v>
      </c>
      <c r="BG122" s="144"/>
      <c r="BH122" s="144"/>
      <c r="BI122" s="144"/>
      <c r="BJ122" s="144"/>
      <c r="BK122" s="144"/>
      <c r="BL122" s="144"/>
      <c r="BM122" s="144"/>
      <c r="BN122" s="144"/>
      <c r="BO122" s="144"/>
      <c r="BP122" s="144"/>
      <c r="BQ122" s="144"/>
      <c r="BR122" s="144"/>
      <c r="BS122" s="94"/>
      <c r="BT122" s="144">
        <f>SUM(BX122:BZ122)</f>
        <v>0</v>
      </c>
      <c r="BU122" s="144"/>
      <c r="BV122" s="144"/>
      <c r="BW122" s="144"/>
      <c r="BX122" s="144"/>
      <c r="BY122" s="144"/>
      <c r="BZ122" s="144"/>
      <c r="CB122" s="144"/>
    </row>
    <row r="123" spans="1:80" ht="13.5" hidden="1" thickTop="1" thickBot="1">
      <c r="A123" s="73" t="s">
        <v>311</v>
      </c>
      <c r="B123" s="72">
        <f>SUM(C123:N123)</f>
        <v>0</v>
      </c>
      <c r="C123" s="72">
        <f t="shared" ref="C123:N123" si="234">SUM(E123:P123)</f>
        <v>0</v>
      </c>
      <c r="D123" s="72">
        <f t="shared" si="234"/>
        <v>0</v>
      </c>
      <c r="E123" s="72">
        <f t="shared" si="234"/>
        <v>0</v>
      </c>
      <c r="F123" s="72">
        <f t="shared" si="234"/>
        <v>0</v>
      </c>
      <c r="G123" s="72">
        <f t="shared" si="234"/>
        <v>0</v>
      </c>
      <c r="H123" s="72">
        <f t="shared" si="234"/>
        <v>0</v>
      </c>
      <c r="I123" s="72">
        <f t="shared" si="234"/>
        <v>0</v>
      </c>
      <c r="J123" s="72">
        <f t="shared" si="234"/>
        <v>0</v>
      </c>
      <c r="K123" s="72">
        <f t="shared" si="234"/>
        <v>0</v>
      </c>
      <c r="L123" s="72">
        <f t="shared" si="234"/>
        <v>0</v>
      </c>
      <c r="M123" s="72">
        <f t="shared" si="234"/>
        <v>0</v>
      </c>
      <c r="N123" s="72">
        <f t="shared" si="234"/>
        <v>0</v>
      </c>
      <c r="O123" s="73"/>
      <c r="P123" s="72">
        <f>SUM(Q123:AB123)</f>
        <v>0</v>
      </c>
      <c r="Q123" s="173">
        <v>0</v>
      </c>
      <c r="R123" s="173">
        <v>0</v>
      </c>
      <c r="S123" s="173">
        <v>0</v>
      </c>
      <c r="T123" s="173">
        <v>0</v>
      </c>
      <c r="U123" s="173">
        <v>0</v>
      </c>
      <c r="V123" s="173">
        <v>0</v>
      </c>
      <c r="W123" s="173">
        <v>0</v>
      </c>
      <c r="X123" s="173">
        <v>0</v>
      </c>
      <c r="Y123" s="173">
        <v>0</v>
      </c>
      <c r="Z123" s="173">
        <v>0</v>
      </c>
      <c r="AA123" s="173">
        <v>0</v>
      </c>
      <c r="AB123" s="173">
        <v>0</v>
      </c>
      <c r="AC123" s="73"/>
      <c r="AD123" s="173">
        <f>SUM(AE123:AP123)</f>
        <v>0</v>
      </c>
      <c r="AE123" s="173"/>
      <c r="AF123" s="173">
        <v>0</v>
      </c>
      <c r="AG123" s="173">
        <v>0</v>
      </c>
      <c r="AH123" s="173">
        <v>0</v>
      </c>
      <c r="AI123" s="173">
        <v>0</v>
      </c>
      <c r="AJ123" s="173">
        <v>0</v>
      </c>
      <c r="AK123" s="173">
        <v>0</v>
      </c>
      <c r="AL123" s="173">
        <v>0</v>
      </c>
      <c r="AM123" s="173">
        <v>0</v>
      </c>
      <c r="AN123" s="173">
        <v>0</v>
      </c>
      <c r="AO123" s="173">
        <v>0</v>
      </c>
      <c r="AP123" s="173">
        <v>0</v>
      </c>
      <c r="AQ123" s="73"/>
      <c r="AR123" s="173">
        <f>SUM(AS123:BD123)</f>
        <v>0</v>
      </c>
      <c r="AS123" s="173">
        <v>0</v>
      </c>
      <c r="AT123" s="173">
        <v>0</v>
      </c>
      <c r="AU123" s="173">
        <v>0</v>
      </c>
      <c r="AV123" s="173">
        <v>0</v>
      </c>
      <c r="AW123" s="173">
        <v>0</v>
      </c>
      <c r="AX123" s="173">
        <v>0</v>
      </c>
      <c r="AY123" s="173">
        <v>0</v>
      </c>
      <c r="AZ123" s="173">
        <v>0</v>
      </c>
      <c r="BA123" s="173">
        <v>0</v>
      </c>
      <c r="BB123" s="173">
        <v>0</v>
      </c>
      <c r="BC123" s="173">
        <v>0</v>
      </c>
      <c r="BD123" s="173">
        <v>0</v>
      </c>
      <c r="BF123" s="173">
        <v>0</v>
      </c>
      <c r="BG123" s="173"/>
      <c r="BH123" s="173"/>
      <c r="BI123" s="173">
        <v>0</v>
      </c>
      <c r="BJ123" s="173"/>
      <c r="BK123" s="173"/>
      <c r="BL123" s="173"/>
      <c r="BM123" s="173"/>
      <c r="BN123" s="173"/>
      <c r="BO123" s="173"/>
      <c r="BP123" s="173"/>
      <c r="BQ123" s="173"/>
      <c r="BR123" s="173"/>
      <c r="BT123" s="173">
        <f t="shared" ref="BT123:BT127" si="235">SUM(BU123:BZ123)</f>
        <v>0</v>
      </c>
      <c r="BU123" s="173"/>
      <c r="BV123" s="173"/>
      <c r="BW123" s="173"/>
      <c r="BX123" s="173"/>
      <c r="BY123" s="173"/>
      <c r="BZ123" s="173"/>
      <c r="CB123" s="173"/>
    </row>
    <row r="124" spans="1:80" ht="13.5" hidden="1" thickTop="1" thickBot="1">
      <c r="A124" s="88" t="s">
        <v>312</v>
      </c>
      <c r="B124" s="85">
        <f>SUM(AC124:AJ124)</f>
        <v>0</v>
      </c>
      <c r="C124" s="85">
        <f t="shared" ref="C124:N127" si="236">SUM(S124:Z124)</f>
        <v>0</v>
      </c>
      <c r="D124" s="85">
        <f t="shared" si="236"/>
        <v>0</v>
      </c>
      <c r="E124" s="85">
        <f t="shared" si="236"/>
        <v>0</v>
      </c>
      <c r="F124" s="85">
        <f t="shared" si="236"/>
        <v>0</v>
      </c>
      <c r="G124" s="85">
        <f t="shared" si="236"/>
        <v>0</v>
      </c>
      <c r="H124" s="85">
        <f t="shared" si="236"/>
        <v>0</v>
      </c>
      <c r="I124" s="85">
        <f t="shared" si="236"/>
        <v>0</v>
      </c>
      <c r="J124" s="85">
        <f t="shared" si="236"/>
        <v>0</v>
      </c>
      <c r="K124" s="85">
        <f t="shared" si="236"/>
        <v>0</v>
      </c>
      <c r="L124" s="85">
        <f t="shared" si="236"/>
        <v>0</v>
      </c>
      <c r="M124" s="85">
        <f t="shared" si="236"/>
        <v>0</v>
      </c>
      <c r="N124" s="85">
        <f t="shared" si="236"/>
        <v>0</v>
      </c>
      <c r="O124" s="91"/>
      <c r="P124" s="85">
        <f>SUM(AE124:AL124)</f>
        <v>0</v>
      </c>
      <c r="Q124" s="85">
        <f t="shared" ref="Q124:AD127" si="237">SUM(V124:AC124)</f>
        <v>0</v>
      </c>
      <c r="R124" s="85">
        <f t="shared" si="237"/>
        <v>0</v>
      </c>
      <c r="S124" s="85">
        <f t="shared" si="237"/>
        <v>0</v>
      </c>
      <c r="T124" s="85">
        <f t="shared" si="237"/>
        <v>0</v>
      </c>
      <c r="U124" s="85">
        <f t="shared" si="237"/>
        <v>0</v>
      </c>
      <c r="V124" s="85">
        <f t="shared" si="237"/>
        <v>0</v>
      </c>
      <c r="W124" s="85">
        <f t="shared" si="237"/>
        <v>0</v>
      </c>
      <c r="X124" s="85">
        <f t="shared" si="237"/>
        <v>0</v>
      </c>
      <c r="Y124" s="85">
        <f t="shared" si="237"/>
        <v>0</v>
      </c>
      <c r="Z124" s="85">
        <f t="shared" si="237"/>
        <v>0</v>
      </c>
      <c r="AA124" s="85">
        <f t="shared" si="237"/>
        <v>0</v>
      </c>
      <c r="AB124" s="85">
        <f t="shared" si="237"/>
        <v>0</v>
      </c>
      <c r="AC124" s="91"/>
      <c r="AD124" s="85">
        <f t="shared" si="237"/>
        <v>0</v>
      </c>
      <c r="AE124" s="85"/>
      <c r="AF124" s="85"/>
      <c r="AG124" s="85"/>
      <c r="AH124" s="85"/>
      <c r="AI124" s="85"/>
      <c r="AJ124" s="85"/>
      <c r="AK124" s="77">
        <f t="shared" ref="AK124:AP127" si="238">SUM(AM124:AX124)</f>
        <v>0</v>
      </c>
      <c r="AL124" s="77">
        <f t="shared" si="238"/>
        <v>0</v>
      </c>
      <c r="AM124" s="77">
        <f t="shared" si="238"/>
        <v>0</v>
      </c>
      <c r="AN124" s="77">
        <f t="shared" si="238"/>
        <v>0</v>
      </c>
      <c r="AO124" s="77">
        <f t="shared" si="238"/>
        <v>0</v>
      </c>
      <c r="AP124" s="77">
        <f t="shared" si="238"/>
        <v>0</v>
      </c>
      <c r="AQ124" s="91"/>
      <c r="AR124" s="77"/>
      <c r="AS124" s="77">
        <f t="shared" ref="AS124:BD127" si="239">SUM(AU124:BF124)</f>
        <v>0</v>
      </c>
      <c r="AT124" s="77">
        <f t="shared" si="239"/>
        <v>0</v>
      </c>
      <c r="AU124" s="77">
        <f t="shared" si="239"/>
        <v>0</v>
      </c>
      <c r="AV124" s="77">
        <f t="shared" si="239"/>
        <v>0</v>
      </c>
      <c r="AW124" s="77">
        <f t="shared" si="239"/>
        <v>0</v>
      </c>
      <c r="AX124" s="77">
        <f t="shared" si="239"/>
        <v>0</v>
      </c>
      <c r="AY124" s="77">
        <f t="shared" si="239"/>
        <v>0</v>
      </c>
      <c r="AZ124" s="77">
        <f t="shared" si="239"/>
        <v>0</v>
      </c>
      <c r="BA124" s="77">
        <f t="shared" si="239"/>
        <v>0</v>
      </c>
      <c r="BB124" s="77">
        <f t="shared" si="239"/>
        <v>0</v>
      </c>
      <c r="BC124" s="77">
        <f t="shared" si="239"/>
        <v>0</v>
      </c>
      <c r="BD124" s="77">
        <f t="shared" si="239"/>
        <v>0</v>
      </c>
      <c r="BE124" s="94"/>
      <c r="BF124" s="77">
        <f t="shared" ref="BF124:BF127" si="240">SUM(BG124:BR124)</f>
        <v>0</v>
      </c>
      <c r="BG124" s="85"/>
      <c r="BH124" s="85"/>
      <c r="BI124" s="76"/>
      <c r="BJ124" s="76"/>
      <c r="BK124" s="76"/>
      <c r="BL124" s="76"/>
      <c r="BM124" s="76"/>
      <c r="BN124" s="76"/>
      <c r="BO124" s="76"/>
      <c r="BP124" s="76"/>
      <c r="BQ124" s="76"/>
      <c r="BR124" s="72"/>
      <c r="BS124" s="94"/>
      <c r="BT124" s="76">
        <f t="shared" si="235"/>
        <v>0</v>
      </c>
      <c r="BU124" s="76"/>
      <c r="BV124" s="76"/>
      <c r="BW124" s="76"/>
      <c r="BX124" s="76"/>
      <c r="BY124" s="76"/>
      <c r="BZ124" s="76"/>
      <c r="CB124" s="72"/>
    </row>
    <row r="125" spans="1:80" ht="13.5" hidden="1" thickTop="1" thickBot="1">
      <c r="A125" s="88" t="s">
        <v>313</v>
      </c>
      <c r="B125" s="85">
        <f>SUM(AC125:AJ125)</f>
        <v>0</v>
      </c>
      <c r="C125" s="85">
        <f t="shared" si="236"/>
        <v>0</v>
      </c>
      <c r="D125" s="85">
        <f t="shared" si="236"/>
        <v>0</v>
      </c>
      <c r="E125" s="85">
        <f t="shared" si="236"/>
        <v>0</v>
      </c>
      <c r="F125" s="85">
        <f t="shared" si="236"/>
        <v>0</v>
      </c>
      <c r="G125" s="85">
        <f t="shared" si="236"/>
        <v>0</v>
      </c>
      <c r="H125" s="85">
        <f t="shared" si="236"/>
        <v>0</v>
      </c>
      <c r="I125" s="85">
        <f t="shared" si="236"/>
        <v>0</v>
      </c>
      <c r="J125" s="85">
        <f t="shared" si="236"/>
        <v>0</v>
      </c>
      <c r="K125" s="85">
        <f t="shared" si="236"/>
        <v>0</v>
      </c>
      <c r="L125" s="85">
        <f t="shared" si="236"/>
        <v>0</v>
      </c>
      <c r="M125" s="85">
        <f t="shared" si="236"/>
        <v>0</v>
      </c>
      <c r="N125" s="85">
        <f t="shared" si="236"/>
        <v>0</v>
      </c>
      <c r="O125" s="91"/>
      <c r="P125" s="85">
        <f>SUM(AE125:AL125)</f>
        <v>0</v>
      </c>
      <c r="Q125" s="85">
        <f t="shared" si="237"/>
        <v>0</v>
      </c>
      <c r="R125" s="85">
        <f t="shared" si="237"/>
        <v>0</v>
      </c>
      <c r="S125" s="85">
        <f t="shared" si="237"/>
        <v>0</v>
      </c>
      <c r="T125" s="85">
        <f t="shared" si="237"/>
        <v>0</v>
      </c>
      <c r="U125" s="85">
        <f t="shared" si="237"/>
        <v>0</v>
      </c>
      <c r="V125" s="85">
        <f t="shared" si="237"/>
        <v>0</v>
      </c>
      <c r="W125" s="85">
        <f t="shared" si="237"/>
        <v>0</v>
      </c>
      <c r="X125" s="85">
        <f t="shared" si="237"/>
        <v>0</v>
      </c>
      <c r="Y125" s="85">
        <f t="shared" si="237"/>
        <v>0</v>
      </c>
      <c r="Z125" s="85">
        <f t="shared" si="237"/>
        <v>0</v>
      </c>
      <c r="AA125" s="85">
        <f t="shared" si="237"/>
        <v>0</v>
      </c>
      <c r="AB125" s="85">
        <f t="shared" si="237"/>
        <v>0</v>
      </c>
      <c r="AC125" s="91"/>
      <c r="AD125" s="85">
        <f t="shared" si="237"/>
        <v>0</v>
      </c>
      <c r="AE125" s="85"/>
      <c r="AF125" s="85"/>
      <c r="AG125" s="85"/>
      <c r="AH125" s="85"/>
      <c r="AI125" s="85"/>
      <c r="AJ125" s="85"/>
      <c r="AK125" s="77">
        <f t="shared" si="238"/>
        <v>0</v>
      </c>
      <c r="AL125" s="77">
        <f t="shared" si="238"/>
        <v>0</v>
      </c>
      <c r="AM125" s="77">
        <f t="shared" si="238"/>
        <v>0</v>
      </c>
      <c r="AN125" s="77">
        <f t="shared" si="238"/>
        <v>0</v>
      </c>
      <c r="AO125" s="77">
        <f t="shared" si="238"/>
        <v>0</v>
      </c>
      <c r="AP125" s="77">
        <f t="shared" si="238"/>
        <v>0</v>
      </c>
      <c r="AQ125" s="91"/>
      <c r="AR125" s="77"/>
      <c r="AS125" s="77">
        <f t="shared" si="239"/>
        <v>0</v>
      </c>
      <c r="AT125" s="77">
        <f t="shared" si="239"/>
        <v>0</v>
      </c>
      <c r="AU125" s="77">
        <f t="shared" si="239"/>
        <v>0</v>
      </c>
      <c r="AV125" s="77">
        <f t="shared" si="239"/>
        <v>0</v>
      </c>
      <c r="AW125" s="77">
        <f t="shared" si="239"/>
        <v>0</v>
      </c>
      <c r="AX125" s="77">
        <f t="shared" si="239"/>
        <v>0</v>
      </c>
      <c r="AY125" s="77">
        <f t="shared" si="239"/>
        <v>0</v>
      </c>
      <c r="AZ125" s="77">
        <f t="shared" si="239"/>
        <v>0</v>
      </c>
      <c r="BA125" s="77">
        <f t="shared" si="239"/>
        <v>0</v>
      </c>
      <c r="BB125" s="77">
        <f t="shared" si="239"/>
        <v>0</v>
      </c>
      <c r="BC125" s="77">
        <f t="shared" si="239"/>
        <v>0</v>
      </c>
      <c r="BD125" s="77">
        <f t="shared" si="239"/>
        <v>0</v>
      </c>
      <c r="BE125" s="94"/>
      <c r="BF125" s="77">
        <f t="shared" si="240"/>
        <v>0</v>
      </c>
      <c r="BG125" s="85"/>
      <c r="BH125" s="85"/>
      <c r="BI125" s="76"/>
      <c r="BJ125" s="76"/>
      <c r="BK125" s="76"/>
      <c r="BL125" s="76"/>
      <c r="BM125" s="76"/>
      <c r="BN125" s="76"/>
      <c r="BO125" s="76"/>
      <c r="BP125" s="76"/>
      <c r="BQ125" s="76"/>
      <c r="BR125" s="72">
        <v>0</v>
      </c>
      <c r="BS125" s="94"/>
      <c r="BT125" s="76">
        <f t="shared" si="235"/>
        <v>0</v>
      </c>
      <c r="BU125" s="76"/>
      <c r="BV125" s="76"/>
      <c r="BW125" s="76"/>
      <c r="BX125" s="76"/>
      <c r="BY125" s="76"/>
      <c r="BZ125" s="72">
        <v>0</v>
      </c>
      <c r="CB125" s="116"/>
    </row>
    <row r="126" spans="1:80" ht="13.5" hidden="1" thickTop="1" thickBot="1">
      <c r="A126" s="88" t="s">
        <v>314</v>
      </c>
      <c r="B126" s="112">
        <f>SUM(AC126:AJ126)</f>
        <v>0</v>
      </c>
      <c r="C126" s="112">
        <f t="shared" si="236"/>
        <v>0</v>
      </c>
      <c r="D126" s="112">
        <f t="shared" si="236"/>
        <v>0</v>
      </c>
      <c r="E126" s="112">
        <f t="shared" si="236"/>
        <v>0</v>
      </c>
      <c r="F126" s="112">
        <f t="shared" si="236"/>
        <v>0</v>
      </c>
      <c r="G126" s="112">
        <f t="shared" si="236"/>
        <v>0</v>
      </c>
      <c r="H126" s="112">
        <f t="shared" si="236"/>
        <v>0</v>
      </c>
      <c r="I126" s="112">
        <f t="shared" si="236"/>
        <v>0</v>
      </c>
      <c r="J126" s="112">
        <f t="shared" si="236"/>
        <v>0</v>
      </c>
      <c r="K126" s="112">
        <f t="shared" si="236"/>
        <v>0</v>
      </c>
      <c r="L126" s="112">
        <f t="shared" si="236"/>
        <v>0</v>
      </c>
      <c r="M126" s="112">
        <f t="shared" si="236"/>
        <v>0</v>
      </c>
      <c r="N126" s="112">
        <f t="shared" si="236"/>
        <v>0</v>
      </c>
      <c r="O126" s="91"/>
      <c r="P126" s="112">
        <f>SUM(AE126:AL126)</f>
        <v>0</v>
      </c>
      <c r="Q126" s="112">
        <f t="shared" si="237"/>
        <v>0</v>
      </c>
      <c r="R126" s="112">
        <f t="shared" si="237"/>
        <v>0</v>
      </c>
      <c r="S126" s="112">
        <f t="shared" si="237"/>
        <v>0</v>
      </c>
      <c r="T126" s="112">
        <f t="shared" si="237"/>
        <v>0</v>
      </c>
      <c r="U126" s="112">
        <f t="shared" si="237"/>
        <v>0</v>
      </c>
      <c r="V126" s="112">
        <f t="shared" si="237"/>
        <v>0</v>
      </c>
      <c r="W126" s="112">
        <f t="shared" si="237"/>
        <v>0</v>
      </c>
      <c r="X126" s="112">
        <f t="shared" si="237"/>
        <v>0</v>
      </c>
      <c r="Y126" s="112">
        <f t="shared" si="237"/>
        <v>0</v>
      </c>
      <c r="Z126" s="112">
        <f t="shared" si="237"/>
        <v>0</v>
      </c>
      <c r="AA126" s="112">
        <f t="shared" si="237"/>
        <v>0</v>
      </c>
      <c r="AB126" s="112">
        <f t="shared" si="237"/>
        <v>0</v>
      </c>
      <c r="AC126" s="91"/>
      <c r="AD126" s="112">
        <f t="shared" si="237"/>
        <v>0</v>
      </c>
      <c r="AE126" s="112"/>
      <c r="AF126" s="112"/>
      <c r="AG126" s="112"/>
      <c r="AH126" s="112"/>
      <c r="AI126" s="112"/>
      <c r="AJ126" s="112"/>
      <c r="AK126" s="77">
        <f t="shared" si="238"/>
        <v>0</v>
      </c>
      <c r="AL126" s="77">
        <f t="shared" si="238"/>
        <v>0</v>
      </c>
      <c r="AM126" s="77">
        <f t="shared" si="238"/>
        <v>0</v>
      </c>
      <c r="AN126" s="77">
        <f t="shared" si="238"/>
        <v>0</v>
      </c>
      <c r="AO126" s="77">
        <f t="shared" si="238"/>
        <v>0</v>
      </c>
      <c r="AP126" s="77">
        <f t="shared" si="238"/>
        <v>0</v>
      </c>
      <c r="AQ126" s="91"/>
      <c r="AR126" s="77"/>
      <c r="AS126" s="77">
        <f t="shared" si="239"/>
        <v>0</v>
      </c>
      <c r="AT126" s="77">
        <f t="shared" si="239"/>
        <v>0</v>
      </c>
      <c r="AU126" s="77">
        <f t="shared" si="239"/>
        <v>0</v>
      </c>
      <c r="AV126" s="77">
        <f t="shared" si="239"/>
        <v>0</v>
      </c>
      <c r="AW126" s="77">
        <f t="shared" si="239"/>
        <v>0</v>
      </c>
      <c r="AX126" s="77">
        <f t="shared" si="239"/>
        <v>0</v>
      </c>
      <c r="AY126" s="77">
        <f t="shared" si="239"/>
        <v>0</v>
      </c>
      <c r="AZ126" s="77">
        <f t="shared" si="239"/>
        <v>0</v>
      </c>
      <c r="BA126" s="77">
        <f t="shared" si="239"/>
        <v>0</v>
      </c>
      <c r="BB126" s="77">
        <f t="shared" si="239"/>
        <v>0</v>
      </c>
      <c r="BC126" s="77">
        <f t="shared" si="239"/>
        <v>0</v>
      </c>
      <c r="BD126" s="77">
        <f t="shared" si="239"/>
        <v>0</v>
      </c>
      <c r="BE126" s="94"/>
      <c r="BF126" s="77">
        <f t="shared" si="240"/>
        <v>0</v>
      </c>
      <c r="BG126" s="85"/>
      <c r="BH126" s="85"/>
      <c r="BI126" s="76"/>
      <c r="BJ126" s="76"/>
      <c r="BK126" s="76"/>
      <c r="BL126" s="76"/>
      <c r="BM126" s="76"/>
      <c r="BN126" s="76"/>
      <c r="BO126" s="76"/>
      <c r="BP126" s="76"/>
      <c r="BQ126" s="76"/>
      <c r="BR126" s="72"/>
      <c r="BS126" s="94"/>
      <c r="BT126" s="76">
        <f t="shared" si="235"/>
        <v>0</v>
      </c>
      <c r="BU126" s="76"/>
      <c r="BV126" s="76"/>
      <c r="BW126" s="76"/>
      <c r="BX126" s="76"/>
      <c r="BY126" s="76"/>
      <c r="BZ126" s="76"/>
      <c r="CB126" s="106"/>
    </row>
    <row r="127" spans="1:80" ht="13.5" hidden="1" thickTop="1" thickBot="1">
      <c r="A127" s="88" t="s">
        <v>315</v>
      </c>
      <c r="B127" s="85">
        <f>SUM(AC127:AJ127)</f>
        <v>0</v>
      </c>
      <c r="C127" s="85">
        <f t="shared" si="236"/>
        <v>0</v>
      </c>
      <c r="D127" s="85">
        <f t="shared" si="236"/>
        <v>0</v>
      </c>
      <c r="E127" s="85">
        <f t="shared" si="236"/>
        <v>0</v>
      </c>
      <c r="F127" s="85">
        <f t="shared" si="236"/>
        <v>0</v>
      </c>
      <c r="G127" s="85">
        <f t="shared" si="236"/>
        <v>0</v>
      </c>
      <c r="H127" s="85">
        <f t="shared" si="236"/>
        <v>0</v>
      </c>
      <c r="I127" s="85">
        <f t="shared" si="236"/>
        <v>0</v>
      </c>
      <c r="J127" s="85">
        <f t="shared" si="236"/>
        <v>0</v>
      </c>
      <c r="K127" s="85">
        <f t="shared" si="236"/>
        <v>0</v>
      </c>
      <c r="L127" s="85">
        <f t="shared" si="236"/>
        <v>0</v>
      </c>
      <c r="M127" s="85">
        <f t="shared" si="236"/>
        <v>0</v>
      </c>
      <c r="N127" s="85">
        <f t="shared" si="236"/>
        <v>0</v>
      </c>
      <c r="O127" s="91"/>
      <c r="P127" s="85">
        <f>SUM(AE127:AL127)</f>
        <v>0</v>
      </c>
      <c r="Q127" s="85">
        <f t="shared" si="237"/>
        <v>0</v>
      </c>
      <c r="R127" s="85">
        <f t="shared" si="237"/>
        <v>0</v>
      </c>
      <c r="S127" s="85">
        <f t="shared" si="237"/>
        <v>0</v>
      </c>
      <c r="T127" s="85">
        <f t="shared" si="237"/>
        <v>0</v>
      </c>
      <c r="U127" s="85">
        <f t="shared" si="237"/>
        <v>0</v>
      </c>
      <c r="V127" s="85">
        <f t="shared" si="237"/>
        <v>0</v>
      </c>
      <c r="W127" s="85">
        <f t="shared" si="237"/>
        <v>0</v>
      </c>
      <c r="X127" s="85">
        <f t="shared" si="237"/>
        <v>0</v>
      </c>
      <c r="Y127" s="85">
        <f t="shared" si="237"/>
        <v>0</v>
      </c>
      <c r="Z127" s="85">
        <f t="shared" si="237"/>
        <v>0</v>
      </c>
      <c r="AA127" s="85">
        <f t="shared" si="237"/>
        <v>0</v>
      </c>
      <c r="AB127" s="85">
        <f t="shared" si="237"/>
        <v>0</v>
      </c>
      <c r="AC127" s="91"/>
      <c r="AD127" s="85">
        <f t="shared" si="237"/>
        <v>0</v>
      </c>
      <c r="AE127" s="85"/>
      <c r="AF127" s="85"/>
      <c r="AG127" s="85"/>
      <c r="AH127" s="85"/>
      <c r="AI127" s="85"/>
      <c r="AJ127" s="85"/>
      <c r="AK127" s="77">
        <f t="shared" si="238"/>
        <v>0</v>
      </c>
      <c r="AL127" s="77">
        <f t="shared" si="238"/>
        <v>0</v>
      </c>
      <c r="AM127" s="77">
        <f t="shared" si="238"/>
        <v>0</v>
      </c>
      <c r="AN127" s="77">
        <f t="shared" si="238"/>
        <v>0</v>
      </c>
      <c r="AO127" s="77">
        <f t="shared" si="238"/>
        <v>0</v>
      </c>
      <c r="AP127" s="77">
        <f t="shared" si="238"/>
        <v>0</v>
      </c>
      <c r="AQ127" s="91"/>
      <c r="AR127" s="77"/>
      <c r="AS127" s="77">
        <f t="shared" si="239"/>
        <v>0</v>
      </c>
      <c r="AT127" s="77">
        <f t="shared" si="239"/>
        <v>0</v>
      </c>
      <c r="AU127" s="77">
        <f t="shared" si="239"/>
        <v>0</v>
      </c>
      <c r="AV127" s="77">
        <f t="shared" si="239"/>
        <v>0</v>
      </c>
      <c r="AW127" s="77">
        <f t="shared" si="239"/>
        <v>0</v>
      </c>
      <c r="AX127" s="77">
        <f t="shared" si="239"/>
        <v>0</v>
      </c>
      <c r="AY127" s="77">
        <f t="shared" si="239"/>
        <v>0</v>
      </c>
      <c r="AZ127" s="77">
        <f t="shared" si="239"/>
        <v>0</v>
      </c>
      <c r="BA127" s="77">
        <f t="shared" si="239"/>
        <v>0</v>
      </c>
      <c r="BB127" s="77">
        <f t="shared" si="239"/>
        <v>0</v>
      </c>
      <c r="BC127" s="77">
        <f t="shared" si="239"/>
        <v>0</v>
      </c>
      <c r="BD127" s="77">
        <f t="shared" si="239"/>
        <v>0</v>
      </c>
      <c r="BE127" s="94"/>
      <c r="BF127" s="77">
        <f t="shared" si="240"/>
        <v>0</v>
      </c>
      <c r="BG127" s="85"/>
      <c r="BH127" s="85"/>
      <c r="BI127" s="76"/>
      <c r="BJ127" s="76"/>
      <c r="BK127" s="76"/>
      <c r="BL127" s="76"/>
      <c r="BM127" s="76"/>
      <c r="BN127" s="76"/>
      <c r="BO127" s="76"/>
      <c r="BP127" s="76"/>
      <c r="BQ127" s="72"/>
      <c r="BR127" s="72"/>
      <c r="BS127" s="94"/>
      <c r="BT127" s="76">
        <f t="shared" si="235"/>
        <v>0</v>
      </c>
      <c r="BU127" s="76"/>
      <c r="BV127" s="76"/>
      <c r="BW127" s="76"/>
      <c r="BX127" s="76"/>
      <c r="BY127" s="72"/>
      <c r="BZ127" s="72"/>
      <c r="CB127" s="116"/>
    </row>
    <row r="128" spans="1:80" ht="12.75" hidden="1" thickBot="1">
      <c r="A128" s="81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1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1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1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</row>
    <row r="129" spans="1:80" customFormat="1" ht="13.15" hidden="1" customHeight="1" thickTop="1" thickBot="1">
      <c r="A129" s="90" t="s">
        <v>316</v>
      </c>
      <c r="B129" s="75">
        <f t="shared" ref="B129:N129" si="241">SUM(B130:B131)</f>
        <v>0</v>
      </c>
      <c r="C129" s="75">
        <f t="shared" ref="C129:D129" si="242">SUM(C130:C131)</f>
        <v>0</v>
      </c>
      <c r="D129" s="75">
        <f t="shared" si="242"/>
        <v>0</v>
      </c>
      <c r="E129" s="75">
        <f t="shared" si="241"/>
        <v>0</v>
      </c>
      <c r="F129" s="75">
        <f t="shared" ref="F129:G129" si="243">SUM(F130:F131)</f>
        <v>0</v>
      </c>
      <c r="G129" s="75">
        <f t="shared" si="243"/>
        <v>0</v>
      </c>
      <c r="H129" s="75">
        <f t="shared" si="241"/>
        <v>0</v>
      </c>
      <c r="I129" s="75">
        <f t="shared" ref="I129:J129" si="244">SUM(I130:I131)</f>
        <v>0</v>
      </c>
      <c r="J129" s="75">
        <f t="shared" si="244"/>
        <v>0</v>
      </c>
      <c r="K129" s="75">
        <f t="shared" si="241"/>
        <v>0</v>
      </c>
      <c r="L129" s="75">
        <f t="shared" ref="L129:M129" si="245">SUM(L130:L131)</f>
        <v>0</v>
      </c>
      <c r="M129" s="75">
        <f t="shared" si="245"/>
        <v>0</v>
      </c>
      <c r="N129" s="75">
        <f t="shared" si="241"/>
        <v>0</v>
      </c>
      <c r="O129" s="73"/>
      <c r="P129" s="75">
        <f t="shared" ref="P129:Z129" si="246">SUM(P130:P131)</f>
        <v>0</v>
      </c>
      <c r="Q129" s="75">
        <f t="shared" si="246"/>
        <v>0</v>
      </c>
      <c r="R129" s="75">
        <f t="shared" ref="R129:S129" si="247">SUM(R130:R131)</f>
        <v>0</v>
      </c>
      <c r="S129" s="75">
        <f t="shared" si="247"/>
        <v>0</v>
      </c>
      <c r="T129" s="75">
        <f t="shared" si="246"/>
        <v>0</v>
      </c>
      <c r="U129" s="75">
        <f t="shared" ref="U129:V129" si="248">SUM(U130:U131)</f>
        <v>0</v>
      </c>
      <c r="V129" s="75">
        <f t="shared" si="248"/>
        <v>0</v>
      </c>
      <c r="W129" s="75">
        <f t="shared" si="246"/>
        <v>0</v>
      </c>
      <c r="X129" s="75">
        <f t="shared" ref="X129:Y129" si="249">SUM(X130:X131)</f>
        <v>0</v>
      </c>
      <c r="Y129" s="75">
        <f t="shared" si="249"/>
        <v>0</v>
      </c>
      <c r="Z129" s="75">
        <f t="shared" si="246"/>
        <v>0</v>
      </c>
      <c r="AA129" s="75">
        <f t="shared" ref="AA129:AB129" si="250">SUM(AA130:AA131)</f>
        <v>0</v>
      </c>
      <c r="AB129" s="75">
        <f t="shared" si="250"/>
        <v>0</v>
      </c>
      <c r="AC129" s="73"/>
      <c r="AD129" s="75">
        <f t="shared" ref="AD129:AO129" si="251">SUM(AD130:AD131)</f>
        <v>0</v>
      </c>
      <c r="AE129" s="75">
        <f t="shared" si="251"/>
        <v>0</v>
      </c>
      <c r="AF129" s="75">
        <f t="shared" si="251"/>
        <v>0</v>
      </c>
      <c r="AG129" s="75">
        <f t="shared" si="251"/>
        <v>0</v>
      </c>
      <c r="AH129" s="75">
        <f t="shared" si="251"/>
        <v>0</v>
      </c>
      <c r="AI129" s="75">
        <f t="shared" si="251"/>
        <v>0</v>
      </c>
      <c r="AJ129" s="75">
        <f t="shared" si="251"/>
        <v>0</v>
      </c>
      <c r="AK129" s="75">
        <f t="shared" si="251"/>
        <v>0</v>
      </c>
      <c r="AL129" s="75">
        <f t="shared" si="251"/>
        <v>0</v>
      </c>
      <c r="AM129" s="75">
        <f t="shared" si="251"/>
        <v>0</v>
      </c>
      <c r="AN129" s="75">
        <f t="shared" si="251"/>
        <v>0</v>
      </c>
      <c r="AO129" s="75">
        <f t="shared" si="251"/>
        <v>0</v>
      </c>
      <c r="AP129" s="75">
        <f>SUM(AP130:AP131)</f>
        <v>0</v>
      </c>
      <c r="AQ129" s="73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65"/>
      <c r="BF129" s="75">
        <f t="shared" ref="BF129:BQ129" si="252">SUM(BF130:BF131)</f>
        <v>0</v>
      </c>
      <c r="BG129" s="75">
        <f t="shared" si="252"/>
        <v>0</v>
      </c>
      <c r="BH129" s="75">
        <f t="shared" si="252"/>
        <v>0</v>
      </c>
      <c r="BI129" s="75">
        <f t="shared" si="252"/>
        <v>0</v>
      </c>
      <c r="BJ129" s="75">
        <f t="shared" si="252"/>
        <v>0</v>
      </c>
      <c r="BK129" s="75">
        <f t="shared" si="252"/>
        <v>0</v>
      </c>
      <c r="BL129" s="75">
        <f t="shared" si="252"/>
        <v>0</v>
      </c>
      <c r="BM129" s="75">
        <f t="shared" si="252"/>
        <v>0</v>
      </c>
      <c r="BN129" s="75">
        <f t="shared" si="252"/>
        <v>0</v>
      </c>
      <c r="BO129" s="75">
        <f t="shared" si="252"/>
        <v>0</v>
      </c>
      <c r="BP129" s="75">
        <f t="shared" si="252"/>
        <v>0</v>
      </c>
      <c r="BQ129" s="75">
        <f t="shared" si="252"/>
        <v>0</v>
      </c>
      <c r="BR129" s="75">
        <f>SUM(BR130:BR131)</f>
        <v>0</v>
      </c>
      <c r="BS129" s="65"/>
      <c r="BT129" s="75"/>
      <c r="BU129" s="75"/>
      <c r="BV129" s="75"/>
      <c r="BW129" s="75"/>
      <c r="BX129" s="75"/>
      <c r="BY129" s="75"/>
      <c r="BZ129" s="75"/>
      <c r="CB129" s="75"/>
    </row>
    <row r="130" spans="1:80" ht="12.75" hidden="1" thickBot="1">
      <c r="A130" s="330" t="s">
        <v>562</v>
      </c>
      <c r="B130" s="144">
        <f>SUM(C130:N130)</f>
        <v>0</v>
      </c>
      <c r="C130" s="144">
        <f t="shared" ref="C130:N131" si="253">SUM(E130:P130)</f>
        <v>0</v>
      </c>
      <c r="D130" s="144">
        <f t="shared" si="253"/>
        <v>0</v>
      </c>
      <c r="E130" s="144">
        <f t="shared" si="253"/>
        <v>0</v>
      </c>
      <c r="F130" s="144">
        <f t="shared" si="253"/>
        <v>0</v>
      </c>
      <c r="G130" s="144">
        <f t="shared" si="253"/>
        <v>0</v>
      </c>
      <c r="H130" s="144">
        <f t="shared" si="253"/>
        <v>0</v>
      </c>
      <c r="I130" s="144">
        <f t="shared" si="253"/>
        <v>0</v>
      </c>
      <c r="J130" s="144">
        <f t="shared" si="253"/>
        <v>0</v>
      </c>
      <c r="K130" s="144">
        <f t="shared" si="253"/>
        <v>0</v>
      </c>
      <c r="L130" s="144">
        <f t="shared" si="253"/>
        <v>0</v>
      </c>
      <c r="M130" s="144">
        <f t="shared" si="253"/>
        <v>0</v>
      </c>
      <c r="N130" s="144">
        <f t="shared" si="253"/>
        <v>0</v>
      </c>
      <c r="O130" s="71"/>
      <c r="P130" s="144">
        <f>SUM(Q130:AB130)</f>
        <v>0</v>
      </c>
      <c r="Q130" s="144">
        <v>0</v>
      </c>
      <c r="R130" s="144">
        <v>0</v>
      </c>
      <c r="S130" s="144">
        <v>0</v>
      </c>
      <c r="T130" s="144">
        <v>0</v>
      </c>
      <c r="U130" s="144">
        <v>0</v>
      </c>
      <c r="V130" s="144">
        <v>0</v>
      </c>
      <c r="W130" s="144">
        <v>0</v>
      </c>
      <c r="X130" s="144">
        <v>0</v>
      </c>
      <c r="Y130" s="144">
        <v>0</v>
      </c>
      <c r="Z130" s="144">
        <v>0</v>
      </c>
      <c r="AA130" s="144">
        <v>0</v>
      </c>
      <c r="AB130" s="144">
        <v>0</v>
      </c>
      <c r="AC130" s="71"/>
      <c r="AD130" s="144">
        <f>SUM(AE130:AP130)</f>
        <v>0</v>
      </c>
      <c r="AE130" s="144">
        <v>0</v>
      </c>
      <c r="AF130" s="144">
        <v>0</v>
      </c>
      <c r="AG130" s="144">
        <v>0</v>
      </c>
      <c r="AH130" s="144">
        <v>0</v>
      </c>
      <c r="AI130" s="144">
        <v>0</v>
      </c>
      <c r="AJ130" s="144">
        <v>0</v>
      </c>
      <c r="AK130" s="144">
        <v>0</v>
      </c>
      <c r="AL130" s="144">
        <v>0</v>
      </c>
      <c r="AM130" s="144">
        <v>0</v>
      </c>
      <c r="AN130" s="144">
        <v>0</v>
      </c>
      <c r="AO130" s="144">
        <v>0</v>
      </c>
      <c r="AP130" s="144">
        <v>0</v>
      </c>
      <c r="AQ130" s="71"/>
      <c r="AR130" s="144">
        <f>SUM(AS130:BD130)</f>
        <v>0</v>
      </c>
      <c r="AS130" s="144">
        <v>0</v>
      </c>
      <c r="AT130" s="144">
        <v>0</v>
      </c>
      <c r="AU130" s="144">
        <v>0</v>
      </c>
      <c r="AV130" s="144">
        <v>0</v>
      </c>
      <c r="AW130" s="144">
        <v>0</v>
      </c>
      <c r="AX130" s="144">
        <v>0</v>
      </c>
      <c r="AY130" s="144">
        <v>0</v>
      </c>
      <c r="AZ130" s="144">
        <v>0</v>
      </c>
      <c r="BA130" s="144">
        <v>0</v>
      </c>
      <c r="BB130" s="144">
        <v>0</v>
      </c>
      <c r="BC130" s="144">
        <v>0</v>
      </c>
      <c r="BD130" s="144">
        <v>0</v>
      </c>
      <c r="BE130" s="94"/>
      <c r="BF130" s="144"/>
      <c r="BG130" s="144"/>
      <c r="BH130" s="144"/>
      <c r="BI130" s="144"/>
      <c r="BJ130" s="144"/>
      <c r="BK130" s="144"/>
      <c r="BL130" s="144"/>
      <c r="BM130" s="144"/>
      <c r="BN130" s="144"/>
      <c r="BO130" s="144"/>
      <c r="BP130" s="144"/>
      <c r="BQ130" s="144"/>
      <c r="BR130" s="144"/>
      <c r="BS130" s="94"/>
      <c r="BT130" s="144">
        <v>0</v>
      </c>
      <c r="BU130" s="144"/>
      <c r="BV130" s="144"/>
      <c r="BW130" s="144"/>
      <c r="BX130" s="144"/>
      <c r="BY130" s="144"/>
      <c r="BZ130" s="144"/>
      <c r="CB130" s="144">
        <v>0</v>
      </c>
    </row>
    <row r="131" spans="1:80" ht="12.75" hidden="1" thickBot="1">
      <c r="A131" s="478" t="s">
        <v>563</v>
      </c>
      <c r="B131" s="173">
        <f>SUM(C131:N131)</f>
        <v>0</v>
      </c>
      <c r="C131" s="173">
        <f t="shared" si="253"/>
        <v>0</v>
      </c>
      <c r="D131" s="173">
        <f t="shared" si="253"/>
        <v>0</v>
      </c>
      <c r="E131" s="173">
        <f t="shared" si="253"/>
        <v>0</v>
      </c>
      <c r="F131" s="173">
        <f t="shared" si="253"/>
        <v>0</v>
      </c>
      <c r="G131" s="173">
        <f t="shared" si="253"/>
        <v>0</v>
      </c>
      <c r="H131" s="173">
        <f t="shared" si="253"/>
        <v>0</v>
      </c>
      <c r="I131" s="173">
        <f t="shared" si="253"/>
        <v>0</v>
      </c>
      <c r="J131" s="173">
        <f t="shared" si="253"/>
        <v>0</v>
      </c>
      <c r="K131" s="173">
        <f t="shared" si="253"/>
        <v>0</v>
      </c>
      <c r="L131" s="173">
        <f t="shared" si="253"/>
        <v>0</v>
      </c>
      <c r="M131" s="173">
        <f t="shared" si="253"/>
        <v>0</v>
      </c>
      <c r="N131" s="173">
        <f t="shared" si="253"/>
        <v>0</v>
      </c>
      <c r="O131" s="73"/>
      <c r="P131" s="173">
        <f>SUM(Q131:AB131)</f>
        <v>0</v>
      </c>
      <c r="Q131" s="173">
        <v>0</v>
      </c>
      <c r="R131" s="173">
        <v>0</v>
      </c>
      <c r="S131" s="173">
        <v>0</v>
      </c>
      <c r="T131" s="173">
        <v>0</v>
      </c>
      <c r="U131" s="173">
        <v>0</v>
      </c>
      <c r="V131" s="173">
        <v>0</v>
      </c>
      <c r="W131" s="173">
        <v>0</v>
      </c>
      <c r="X131" s="173">
        <v>0</v>
      </c>
      <c r="Y131" s="173">
        <v>0</v>
      </c>
      <c r="Z131" s="173">
        <v>0</v>
      </c>
      <c r="AA131" s="173">
        <v>0</v>
      </c>
      <c r="AB131" s="173">
        <v>0</v>
      </c>
      <c r="AC131" s="73"/>
      <c r="AD131" s="173">
        <f>SUM(AE131:AP131)</f>
        <v>0</v>
      </c>
      <c r="AE131" s="173">
        <v>0</v>
      </c>
      <c r="AF131" s="173">
        <v>0</v>
      </c>
      <c r="AG131" s="173">
        <v>0</v>
      </c>
      <c r="AH131" s="173">
        <v>0</v>
      </c>
      <c r="AI131" s="173">
        <v>0</v>
      </c>
      <c r="AJ131" s="173">
        <v>0</v>
      </c>
      <c r="AK131" s="173">
        <v>0</v>
      </c>
      <c r="AL131" s="173">
        <v>0</v>
      </c>
      <c r="AM131" s="173">
        <v>0</v>
      </c>
      <c r="AN131" s="173">
        <v>0</v>
      </c>
      <c r="AO131" s="173">
        <v>0</v>
      </c>
      <c r="AP131" s="173">
        <v>0</v>
      </c>
      <c r="AQ131" s="73"/>
      <c r="AR131" s="173">
        <f>SUM(AS131:BD131)</f>
        <v>0</v>
      </c>
      <c r="AS131" s="173">
        <v>0</v>
      </c>
      <c r="AT131" s="173">
        <v>0</v>
      </c>
      <c r="AU131" s="173">
        <v>0</v>
      </c>
      <c r="AV131" s="173">
        <v>0</v>
      </c>
      <c r="AW131" s="173">
        <v>0</v>
      </c>
      <c r="AX131" s="173">
        <v>0</v>
      </c>
      <c r="AY131" s="173">
        <v>0</v>
      </c>
      <c r="AZ131" s="173">
        <v>0</v>
      </c>
      <c r="BA131" s="173">
        <v>0</v>
      </c>
      <c r="BB131" s="173">
        <v>0</v>
      </c>
      <c r="BC131" s="173">
        <v>0</v>
      </c>
      <c r="BD131" s="173">
        <v>0</v>
      </c>
      <c r="BF131" s="173"/>
      <c r="BG131" s="173"/>
      <c r="BH131" s="173"/>
      <c r="BI131" s="173"/>
      <c r="BJ131" s="173"/>
      <c r="BK131" s="173"/>
      <c r="BL131" s="173"/>
      <c r="BM131" s="173"/>
      <c r="BN131" s="173"/>
      <c r="BO131" s="173"/>
      <c r="BP131" s="173"/>
      <c r="BQ131" s="173"/>
      <c r="BR131" s="173"/>
      <c r="BT131" s="173">
        <v>0</v>
      </c>
      <c r="BU131" s="173"/>
      <c r="BV131" s="173"/>
      <c r="BW131" s="173"/>
      <c r="BX131" s="173"/>
      <c r="BY131" s="173"/>
      <c r="BZ131" s="173"/>
      <c r="CB131" s="173">
        <v>0</v>
      </c>
    </row>
    <row r="132" spans="1:80" ht="13.5" hidden="1" thickTop="1" thickBot="1">
      <c r="A132" s="88" t="s">
        <v>307</v>
      </c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91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91"/>
      <c r="AD132" s="76"/>
      <c r="AE132" s="76"/>
      <c r="AF132" s="76"/>
      <c r="AG132" s="76"/>
      <c r="AH132" s="76"/>
      <c r="AI132" s="76"/>
      <c r="AJ132" s="76"/>
      <c r="AK132" s="76">
        <f t="shared" ref="AK132:AP132" si="254">SUM(AO132:AX132)</f>
        <v>0</v>
      </c>
      <c r="AL132" s="76">
        <f t="shared" si="254"/>
        <v>0</v>
      </c>
      <c r="AM132" s="76">
        <f t="shared" si="254"/>
        <v>0</v>
      </c>
      <c r="AN132" s="76">
        <f t="shared" si="254"/>
        <v>0</v>
      </c>
      <c r="AO132" s="76">
        <f t="shared" si="254"/>
        <v>0</v>
      </c>
      <c r="AP132" s="76">
        <f t="shared" si="254"/>
        <v>0</v>
      </c>
      <c r="AQ132" s="91"/>
      <c r="AR132" s="76"/>
      <c r="AS132" s="76">
        <f t="shared" ref="AS132:BD132" si="255">SUM(AW132:BF132)</f>
        <v>0</v>
      </c>
      <c r="AT132" s="76">
        <f t="shared" si="255"/>
        <v>0</v>
      </c>
      <c r="AU132" s="76">
        <f t="shared" si="255"/>
        <v>0</v>
      </c>
      <c r="AV132" s="76">
        <f t="shared" si="255"/>
        <v>0</v>
      </c>
      <c r="AW132" s="76">
        <f t="shared" si="255"/>
        <v>0</v>
      </c>
      <c r="AX132" s="76">
        <f t="shared" si="255"/>
        <v>0</v>
      </c>
      <c r="AY132" s="76">
        <f t="shared" si="255"/>
        <v>0</v>
      </c>
      <c r="AZ132" s="76">
        <f t="shared" si="255"/>
        <v>0</v>
      </c>
      <c r="BA132" s="76">
        <f t="shared" si="255"/>
        <v>0</v>
      </c>
      <c r="BB132" s="76">
        <f t="shared" si="255"/>
        <v>0</v>
      </c>
      <c r="BC132" s="76">
        <f t="shared" si="255"/>
        <v>0</v>
      </c>
      <c r="BD132" s="76">
        <f t="shared" si="255"/>
        <v>0</v>
      </c>
      <c r="BE132" s="86"/>
      <c r="BF132" s="76">
        <f t="shared" ref="BF132" si="256">SUM(BI132:BR132)</f>
        <v>0</v>
      </c>
      <c r="BG132" s="76"/>
      <c r="BH132" s="76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86"/>
      <c r="BT132" s="76">
        <f>SUM(BU132:BZ132)</f>
        <v>0</v>
      </c>
      <c r="BU132" s="72"/>
      <c r="BV132" s="72"/>
      <c r="BW132" s="72"/>
      <c r="BX132" s="72"/>
      <c r="BY132" s="72"/>
      <c r="BZ132" s="72"/>
      <c r="CB132" s="72"/>
    </row>
    <row r="133" spans="1:80" ht="13.5" thickTop="1" thickBot="1">
      <c r="A133" s="81"/>
      <c r="B133" s="331"/>
      <c r="C133" s="331"/>
      <c r="D133" s="331"/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81"/>
      <c r="P133" s="331"/>
      <c r="Q133" s="331"/>
      <c r="R133" s="331"/>
      <c r="S133" s="331"/>
      <c r="T133" s="331"/>
      <c r="U133" s="331"/>
      <c r="V133" s="331"/>
      <c r="W133" s="331"/>
      <c r="X133" s="331"/>
      <c r="Y133" s="331"/>
      <c r="Z133" s="331"/>
      <c r="AA133" s="331"/>
      <c r="AB133" s="331"/>
      <c r="AC133" s="81"/>
      <c r="AD133" s="331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1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</row>
    <row r="134" spans="1:80" ht="13.5" thickTop="1" thickBot="1">
      <c r="A134" s="90" t="s">
        <v>317</v>
      </c>
      <c r="B134" s="78">
        <f t="shared" ref="B134:N134" si="257">SUM(B137:B146)</f>
        <v>1403836</v>
      </c>
      <c r="C134" s="78">
        <f t="shared" ref="C134:D134" si="258">SUM(C137:C146)</f>
        <v>0</v>
      </c>
      <c r="D134" s="78">
        <f t="shared" si="258"/>
        <v>0</v>
      </c>
      <c r="E134" s="78">
        <f t="shared" si="257"/>
        <v>0</v>
      </c>
      <c r="F134" s="78">
        <f t="shared" ref="F134:G134" si="259">SUM(F137:F146)</f>
        <v>0</v>
      </c>
      <c r="G134" s="78">
        <f t="shared" si="259"/>
        <v>0</v>
      </c>
      <c r="H134" s="78">
        <f t="shared" si="257"/>
        <v>0</v>
      </c>
      <c r="I134" s="78">
        <f t="shared" ref="I134:J134" si="260">SUM(I137:I146)</f>
        <v>0</v>
      </c>
      <c r="J134" s="78">
        <f t="shared" si="260"/>
        <v>0</v>
      </c>
      <c r="K134" s="78">
        <f t="shared" si="257"/>
        <v>0</v>
      </c>
      <c r="L134" s="78">
        <f t="shared" ref="L134:M134" si="261">SUM(L137:L146)</f>
        <v>0</v>
      </c>
      <c r="M134" s="78">
        <f t="shared" si="261"/>
        <v>0</v>
      </c>
      <c r="N134" s="78">
        <f t="shared" si="257"/>
        <v>657836</v>
      </c>
      <c r="O134" s="90"/>
      <c r="P134" s="78">
        <f t="shared" ref="P134:AB134" si="262">SUM(P137:P146)</f>
        <v>859285</v>
      </c>
      <c r="Q134" s="78">
        <f t="shared" ref="Q134" si="263">SUM(Q137:Q146)</f>
        <v>338748</v>
      </c>
      <c r="R134" s="78">
        <f t="shared" si="262"/>
        <v>25378</v>
      </c>
      <c r="S134" s="78">
        <f t="shared" ref="S134:T134" si="264">SUM(S137:S146)</f>
        <v>71890</v>
      </c>
      <c r="T134" s="78">
        <f t="shared" si="264"/>
        <v>0</v>
      </c>
      <c r="U134" s="78">
        <f t="shared" si="262"/>
        <v>21008</v>
      </c>
      <c r="V134" s="78">
        <f t="shared" ref="V134:W134" si="265">SUM(V137:V146)</f>
        <v>0</v>
      </c>
      <c r="W134" s="78">
        <f t="shared" si="265"/>
        <v>20168</v>
      </c>
      <c r="X134" s="78">
        <f t="shared" si="262"/>
        <v>33521</v>
      </c>
      <c r="Y134" s="78">
        <f t="shared" si="262"/>
        <v>0</v>
      </c>
      <c r="Z134" s="78">
        <f t="shared" si="262"/>
        <v>331849</v>
      </c>
      <c r="AA134" s="78">
        <f t="shared" si="262"/>
        <v>0</v>
      </c>
      <c r="AB134" s="78">
        <f t="shared" si="262"/>
        <v>16723</v>
      </c>
      <c r="AC134" s="90"/>
      <c r="AD134" s="78">
        <f>SUM(AE134:AP134)</f>
        <v>249963.82</v>
      </c>
      <c r="AE134" s="78">
        <f t="shared" ref="AE134:AK134" si="266">SUM(AE137:AE146)</f>
        <v>0</v>
      </c>
      <c r="AF134" s="78">
        <f t="shared" si="266"/>
        <v>45778</v>
      </c>
      <c r="AG134" s="78">
        <f t="shared" si="266"/>
        <v>0</v>
      </c>
      <c r="AH134" s="78">
        <f t="shared" si="266"/>
        <v>0</v>
      </c>
      <c r="AI134" s="78">
        <f t="shared" si="266"/>
        <v>0</v>
      </c>
      <c r="AJ134" s="78">
        <f t="shared" si="266"/>
        <v>93420.160000000003</v>
      </c>
      <c r="AK134" s="78">
        <f t="shared" si="266"/>
        <v>16000</v>
      </c>
      <c r="AL134" s="78">
        <f>SUM(AL137:AL146)</f>
        <v>10397.660000000003</v>
      </c>
      <c r="AM134" s="78">
        <f>SUM(AM137:AM146)</f>
        <v>0</v>
      </c>
      <c r="AN134" s="78">
        <f>SUM(AN137:AN146)</f>
        <v>0</v>
      </c>
      <c r="AO134" s="78">
        <f>SUM(AO137:AO146)</f>
        <v>56052</v>
      </c>
      <c r="AP134" s="78">
        <f>SUM(AP137:AP146)</f>
        <v>28316</v>
      </c>
      <c r="AQ134" s="90"/>
      <c r="AR134" s="78">
        <f>SUM(AS134:BD134)</f>
        <v>717572</v>
      </c>
      <c r="AS134" s="78">
        <f t="shared" ref="AS134:BD134" si="267">SUM(AS137:AS146)</f>
        <v>0</v>
      </c>
      <c r="AT134" s="78">
        <f t="shared" si="267"/>
        <v>22520</v>
      </c>
      <c r="AU134" s="78">
        <f t="shared" si="267"/>
        <v>67450</v>
      </c>
      <c r="AV134" s="78">
        <f t="shared" si="267"/>
        <v>231000</v>
      </c>
      <c r="AW134" s="78">
        <f t="shared" si="267"/>
        <v>63308</v>
      </c>
      <c r="AX134" s="78">
        <f t="shared" si="267"/>
        <v>0</v>
      </c>
      <c r="AY134" s="78">
        <f t="shared" si="267"/>
        <v>31000</v>
      </c>
      <c r="AZ134" s="78">
        <f t="shared" si="267"/>
        <v>0</v>
      </c>
      <c r="BA134" s="78">
        <f t="shared" si="267"/>
        <v>0</v>
      </c>
      <c r="BB134" s="78">
        <f t="shared" si="267"/>
        <v>163000</v>
      </c>
      <c r="BC134" s="78">
        <f t="shared" si="267"/>
        <v>139294</v>
      </c>
      <c r="BD134" s="78">
        <f t="shared" si="267"/>
        <v>0</v>
      </c>
      <c r="BE134" s="95"/>
      <c r="BF134" s="78">
        <f>SUM(BF137:BF146)</f>
        <v>457239</v>
      </c>
      <c r="BG134" s="78">
        <f t="shared" ref="BG134:BR134" si="268">SUM(BG135:BG145)+BG146</f>
        <v>89500</v>
      </c>
      <c r="BH134" s="78">
        <f t="shared" si="268"/>
        <v>0</v>
      </c>
      <c r="BI134" s="78">
        <f t="shared" si="268"/>
        <v>70017</v>
      </c>
      <c r="BJ134" s="78">
        <f t="shared" si="268"/>
        <v>297722</v>
      </c>
      <c r="BK134" s="78">
        <f t="shared" si="268"/>
        <v>0</v>
      </c>
      <c r="BL134" s="78">
        <f t="shared" si="268"/>
        <v>0</v>
      </c>
      <c r="BM134" s="78">
        <f t="shared" si="268"/>
        <v>0</v>
      </c>
      <c r="BN134" s="78">
        <f t="shared" si="268"/>
        <v>0</v>
      </c>
      <c r="BO134" s="78">
        <f t="shared" si="268"/>
        <v>0</v>
      </c>
      <c r="BP134" s="78">
        <f t="shared" si="268"/>
        <v>0</v>
      </c>
      <c r="BQ134" s="78">
        <f t="shared" si="268"/>
        <v>0</v>
      </c>
      <c r="BR134" s="78">
        <f t="shared" si="268"/>
        <v>0</v>
      </c>
      <c r="BS134" s="95"/>
      <c r="BT134" s="78">
        <f>SUM(BU134:BZ134)</f>
        <v>0</v>
      </c>
      <c r="BU134" s="78">
        <f t="shared" ref="BU134:BZ134" si="269">SUM(BU135:BU145)+BU146</f>
        <v>0</v>
      </c>
      <c r="BV134" s="78">
        <f t="shared" si="269"/>
        <v>0</v>
      </c>
      <c r="BW134" s="78">
        <f t="shared" si="269"/>
        <v>0</v>
      </c>
      <c r="BX134" s="78">
        <f t="shared" si="269"/>
        <v>0</v>
      </c>
      <c r="BY134" s="78">
        <f t="shared" si="269"/>
        <v>0</v>
      </c>
      <c r="BZ134" s="78">
        <f t="shared" si="269"/>
        <v>0</v>
      </c>
      <c r="CA134" s="95"/>
      <c r="CB134" s="78">
        <f>SUM(CB135:CB145)+CB146</f>
        <v>0</v>
      </c>
    </row>
    <row r="135" spans="1:80" ht="13.5" hidden="1" thickTop="1" thickBot="1">
      <c r="A135" s="91" t="s">
        <v>318</v>
      </c>
      <c r="B135" s="76">
        <f>SUM(AC135:AJ135)</f>
        <v>0</v>
      </c>
      <c r="C135" s="76">
        <f t="shared" ref="C135:N136" si="270">SUM(S135:Z135)</f>
        <v>0</v>
      </c>
      <c r="D135" s="76">
        <f t="shared" si="270"/>
        <v>0</v>
      </c>
      <c r="E135" s="76">
        <f t="shared" si="270"/>
        <v>0</v>
      </c>
      <c r="F135" s="76">
        <f t="shared" si="270"/>
        <v>0</v>
      </c>
      <c r="G135" s="76">
        <f t="shared" si="270"/>
        <v>0</v>
      </c>
      <c r="H135" s="76">
        <f t="shared" si="270"/>
        <v>0</v>
      </c>
      <c r="I135" s="76">
        <f t="shared" si="270"/>
        <v>0</v>
      </c>
      <c r="J135" s="76">
        <f t="shared" si="270"/>
        <v>0</v>
      </c>
      <c r="K135" s="76">
        <f t="shared" si="270"/>
        <v>0</v>
      </c>
      <c r="L135" s="76">
        <f t="shared" si="270"/>
        <v>0</v>
      </c>
      <c r="M135" s="76">
        <f t="shared" si="270"/>
        <v>0</v>
      </c>
      <c r="N135" s="76">
        <f t="shared" si="270"/>
        <v>0</v>
      </c>
      <c r="O135" s="91"/>
      <c r="P135" s="76">
        <f>SUM(AE135:AL135)</f>
        <v>0</v>
      </c>
      <c r="Q135" s="76">
        <f t="shared" ref="Q135:AB136" si="271">SUM(V135:AC135)</f>
        <v>0</v>
      </c>
      <c r="R135" s="76">
        <f t="shared" si="271"/>
        <v>0</v>
      </c>
      <c r="S135" s="76">
        <f t="shared" si="271"/>
        <v>0</v>
      </c>
      <c r="T135" s="76">
        <f t="shared" si="271"/>
        <v>0</v>
      </c>
      <c r="U135" s="76">
        <f t="shared" si="271"/>
        <v>0</v>
      </c>
      <c r="V135" s="76">
        <f t="shared" si="271"/>
        <v>0</v>
      </c>
      <c r="W135" s="76">
        <f t="shared" si="271"/>
        <v>0</v>
      </c>
      <c r="X135" s="76">
        <f t="shared" si="271"/>
        <v>0</v>
      </c>
      <c r="Y135" s="76">
        <f t="shared" si="271"/>
        <v>0</v>
      </c>
      <c r="Z135" s="76">
        <f t="shared" si="271"/>
        <v>0</v>
      </c>
      <c r="AA135" s="76">
        <f t="shared" si="271"/>
        <v>0</v>
      </c>
      <c r="AB135" s="76">
        <f t="shared" si="271"/>
        <v>0</v>
      </c>
      <c r="AC135" s="91"/>
      <c r="AD135" s="76">
        <f>SUM(AI135:AP135)</f>
        <v>0</v>
      </c>
      <c r="AE135" s="76"/>
      <c r="AF135" s="76"/>
      <c r="AG135" s="76"/>
      <c r="AH135" s="76"/>
      <c r="AI135" s="76"/>
      <c r="AJ135" s="76"/>
      <c r="AK135" s="76">
        <f t="shared" ref="AK135:AP136" si="272">SUM(AM135:AX135)</f>
        <v>0</v>
      </c>
      <c r="AL135" s="76">
        <f t="shared" si="272"/>
        <v>0</v>
      </c>
      <c r="AM135" s="76">
        <f t="shared" si="272"/>
        <v>0</v>
      </c>
      <c r="AN135" s="76">
        <f t="shared" si="272"/>
        <v>0</v>
      </c>
      <c r="AO135" s="76">
        <f t="shared" si="272"/>
        <v>0</v>
      </c>
      <c r="AP135" s="76">
        <f t="shared" si="272"/>
        <v>0</v>
      </c>
      <c r="AQ135" s="91"/>
      <c r="AR135" s="76"/>
      <c r="AS135" s="76">
        <f t="shared" ref="AS135:BD136" si="273">SUM(AU135:BF135)</f>
        <v>0</v>
      </c>
      <c r="AT135" s="76">
        <f t="shared" si="273"/>
        <v>0</v>
      </c>
      <c r="AU135" s="76">
        <f t="shared" si="273"/>
        <v>0</v>
      </c>
      <c r="AV135" s="76">
        <f t="shared" si="273"/>
        <v>0</v>
      </c>
      <c r="AW135" s="76">
        <f t="shared" si="273"/>
        <v>0</v>
      </c>
      <c r="AX135" s="76">
        <f t="shared" si="273"/>
        <v>0</v>
      </c>
      <c r="AY135" s="76">
        <f t="shared" si="273"/>
        <v>0</v>
      </c>
      <c r="AZ135" s="76">
        <f t="shared" si="273"/>
        <v>0</v>
      </c>
      <c r="BA135" s="76">
        <f t="shared" si="273"/>
        <v>0</v>
      </c>
      <c r="BB135" s="76">
        <f t="shared" si="273"/>
        <v>0</v>
      </c>
      <c r="BC135" s="76">
        <f t="shared" si="273"/>
        <v>0</v>
      </c>
      <c r="BD135" s="76">
        <f t="shared" si="273"/>
        <v>0</v>
      </c>
      <c r="BF135" s="76">
        <f>SUM(BG135:BR135)</f>
        <v>0</v>
      </c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>
        <v>0</v>
      </c>
      <c r="BR135" s="76">
        <v>0</v>
      </c>
      <c r="BS135" s="94"/>
      <c r="BT135" s="76">
        <f>SUM(BX135:BZ135)</f>
        <v>0</v>
      </c>
      <c r="BU135" s="76"/>
      <c r="BV135" s="76"/>
      <c r="BW135" s="76"/>
      <c r="BX135" s="76"/>
      <c r="BY135" s="76">
        <v>0</v>
      </c>
      <c r="BZ135" s="76">
        <v>0</v>
      </c>
      <c r="CA135" s="94"/>
      <c r="CB135" s="76"/>
    </row>
    <row r="136" spans="1:80" ht="13.5" hidden="1" thickTop="1" thickBot="1">
      <c r="A136" s="91" t="s">
        <v>319</v>
      </c>
      <c r="B136" s="76">
        <f>SUM(AC136:AJ136)</f>
        <v>0</v>
      </c>
      <c r="C136" s="76">
        <f t="shared" si="270"/>
        <v>0</v>
      </c>
      <c r="D136" s="76">
        <f t="shared" si="270"/>
        <v>0</v>
      </c>
      <c r="E136" s="76">
        <f t="shared" si="270"/>
        <v>0</v>
      </c>
      <c r="F136" s="76">
        <f t="shared" si="270"/>
        <v>0</v>
      </c>
      <c r="G136" s="76">
        <f t="shared" si="270"/>
        <v>0</v>
      </c>
      <c r="H136" s="76">
        <f t="shared" si="270"/>
        <v>0</v>
      </c>
      <c r="I136" s="76">
        <f t="shared" si="270"/>
        <v>0</v>
      </c>
      <c r="J136" s="76">
        <f t="shared" si="270"/>
        <v>0</v>
      </c>
      <c r="K136" s="76">
        <f t="shared" si="270"/>
        <v>0</v>
      </c>
      <c r="L136" s="76">
        <f t="shared" si="270"/>
        <v>0</v>
      </c>
      <c r="M136" s="76">
        <f t="shared" si="270"/>
        <v>0</v>
      </c>
      <c r="N136" s="76">
        <f t="shared" si="270"/>
        <v>0</v>
      </c>
      <c r="O136" s="91"/>
      <c r="P136" s="76">
        <f>SUM(AE136:AL136)</f>
        <v>0</v>
      </c>
      <c r="Q136" s="76">
        <f t="shared" si="271"/>
        <v>0</v>
      </c>
      <c r="R136" s="76">
        <f t="shared" si="271"/>
        <v>0</v>
      </c>
      <c r="S136" s="76">
        <f t="shared" si="271"/>
        <v>0</v>
      </c>
      <c r="T136" s="76">
        <f t="shared" si="271"/>
        <v>0</v>
      </c>
      <c r="U136" s="76">
        <f t="shared" si="271"/>
        <v>0</v>
      </c>
      <c r="V136" s="76">
        <f t="shared" si="271"/>
        <v>0</v>
      </c>
      <c r="W136" s="76">
        <f t="shared" si="271"/>
        <v>0</v>
      </c>
      <c r="X136" s="76">
        <f t="shared" si="271"/>
        <v>0</v>
      </c>
      <c r="Y136" s="76">
        <f t="shared" si="271"/>
        <v>0</v>
      </c>
      <c r="Z136" s="76">
        <f t="shared" si="271"/>
        <v>0</v>
      </c>
      <c r="AA136" s="76">
        <f t="shared" si="271"/>
        <v>0</v>
      </c>
      <c r="AB136" s="76">
        <f t="shared" si="271"/>
        <v>0</v>
      </c>
      <c r="AC136" s="91"/>
      <c r="AD136" s="76">
        <f>SUM(AI136:AP136)</f>
        <v>0</v>
      </c>
      <c r="AE136" s="76"/>
      <c r="AF136" s="76"/>
      <c r="AG136" s="76"/>
      <c r="AH136" s="76"/>
      <c r="AI136" s="76"/>
      <c r="AJ136" s="76"/>
      <c r="AK136" s="76">
        <f t="shared" si="272"/>
        <v>0</v>
      </c>
      <c r="AL136" s="76">
        <f t="shared" si="272"/>
        <v>0</v>
      </c>
      <c r="AM136" s="76">
        <f t="shared" si="272"/>
        <v>0</v>
      </c>
      <c r="AN136" s="76">
        <f t="shared" si="272"/>
        <v>0</v>
      </c>
      <c r="AO136" s="76">
        <f t="shared" si="272"/>
        <v>0</v>
      </c>
      <c r="AP136" s="76">
        <f t="shared" si="272"/>
        <v>0</v>
      </c>
      <c r="AQ136" s="91"/>
      <c r="AR136" s="76"/>
      <c r="AS136" s="76">
        <f t="shared" si="273"/>
        <v>0</v>
      </c>
      <c r="AT136" s="76">
        <f t="shared" si="273"/>
        <v>0</v>
      </c>
      <c r="AU136" s="76">
        <f t="shared" si="273"/>
        <v>0</v>
      </c>
      <c r="AV136" s="76">
        <f t="shared" si="273"/>
        <v>0</v>
      </c>
      <c r="AW136" s="76">
        <f t="shared" si="273"/>
        <v>0</v>
      </c>
      <c r="AX136" s="76">
        <f t="shared" si="273"/>
        <v>0</v>
      </c>
      <c r="AY136" s="76">
        <f t="shared" si="273"/>
        <v>0</v>
      </c>
      <c r="AZ136" s="76">
        <f t="shared" si="273"/>
        <v>0</v>
      </c>
      <c r="BA136" s="76">
        <f t="shared" si="273"/>
        <v>0</v>
      </c>
      <c r="BB136" s="76">
        <f t="shared" si="273"/>
        <v>0</v>
      </c>
      <c r="BC136" s="76">
        <f t="shared" si="273"/>
        <v>0</v>
      </c>
      <c r="BD136" s="76">
        <f t="shared" si="273"/>
        <v>0</v>
      </c>
      <c r="BF136" s="76">
        <f t="shared" ref="BF136:BF150" si="274">SUM(BG136:BR136)</f>
        <v>0</v>
      </c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94"/>
      <c r="BT136" s="76">
        <f t="shared" ref="BT136:BT150" si="275">SUM(BU136:BZ136)</f>
        <v>0</v>
      </c>
      <c r="BU136" s="76"/>
      <c r="BV136" s="76"/>
      <c r="BW136" s="76"/>
      <c r="BX136" s="76"/>
      <c r="BY136" s="76"/>
      <c r="BZ136" s="76"/>
      <c r="CB136" s="76"/>
    </row>
    <row r="137" spans="1:80" ht="15.75" customHeight="1" thickTop="1">
      <c r="A137" s="91" t="s">
        <v>320</v>
      </c>
      <c r="B137" s="144">
        <f>SUM(C137:N137)</f>
        <v>657836</v>
      </c>
      <c r="C137" s="144">
        <v>0</v>
      </c>
      <c r="D137" s="144">
        <v>0</v>
      </c>
      <c r="E137" s="144">
        <v>0</v>
      </c>
      <c r="F137" s="144">
        <v>0</v>
      </c>
      <c r="G137" s="144">
        <v>0</v>
      </c>
      <c r="H137" s="144">
        <v>0</v>
      </c>
      <c r="I137" s="144">
        <v>0</v>
      </c>
      <c r="J137" s="144">
        <v>0</v>
      </c>
      <c r="K137" s="144">
        <v>0</v>
      </c>
      <c r="L137" s="144">
        <v>0</v>
      </c>
      <c r="M137" s="144">
        <v>0</v>
      </c>
      <c r="N137" s="144">
        <v>657836</v>
      </c>
      <c r="O137" s="91"/>
      <c r="P137" s="144">
        <f>SUM(Q137:AB137)</f>
        <v>350151</v>
      </c>
      <c r="Q137" s="117">
        <v>244740</v>
      </c>
      <c r="R137" s="117">
        <v>0</v>
      </c>
      <c r="S137" s="117">
        <v>71890</v>
      </c>
      <c r="T137" s="117">
        <v>0</v>
      </c>
      <c r="U137" s="117">
        <v>0</v>
      </c>
      <c r="V137" s="117">
        <v>0</v>
      </c>
      <c r="W137" s="117">
        <v>0</v>
      </c>
      <c r="X137" s="117">
        <v>33521</v>
      </c>
      <c r="Y137" s="117">
        <v>0</v>
      </c>
      <c r="Z137" s="117">
        <v>0</v>
      </c>
      <c r="AA137" s="117">
        <v>0</v>
      </c>
      <c r="AB137" s="117">
        <v>0</v>
      </c>
      <c r="AC137" s="91"/>
      <c r="AD137" s="117">
        <f>SUM(AE137:AP137)</f>
        <v>130146</v>
      </c>
      <c r="AE137" s="117">
        <v>0</v>
      </c>
      <c r="AF137" s="117">
        <v>45778</v>
      </c>
      <c r="AG137" s="117">
        <v>0</v>
      </c>
      <c r="AH137" s="117">
        <v>0</v>
      </c>
      <c r="AI137" s="117"/>
      <c r="AJ137" s="117"/>
      <c r="AK137" s="117"/>
      <c r="AL137" s="117"/>
      <c r="AM137" s="117"/>
      <c r="AN137" s="117"/>
      <c r="AO137" s="117">
        <v>56052</v>
      </c>
      <c r="AP137" s="117">
        <v>28316</v>
      </c>
      <c r="AQ137" s="91"/>
      <c r="AR137" s="117">
        <f>SUM(AS137:BD137)</f>
        <v>128810</v>
      </c>
      <c r="AS137" s="117"/>
      <c r="AT137" s="117">
        <v>22520</v>
      </c>
      <c r="AU137" s="117">
        <v>67450</v>
      </c>
      <c r="AV137" s="117">
        <v>9000</v>
      </c>
      <c r="AW137" s="117"/>
      <c r="AX137" s="117"/>
      <c r="AY137" s="117">
        <v>9000</v>
      </c>
      <c r="AZ137" s="117">
        <v>0</v>
      </c>
      <c r="BA137" s="117">
        <v>0</v>
      </c>
      <c r="BB137" s="117">
        <v>20840</v>
      </c>
      <c r="BC137" s="117">
        <v>0</v>
      </c>
      <c r="BD137" s="117">
        <v>0</v>
      </c>
      <c r="BE137" s="94"/>
      <c r="BF137" s="117">
        <v>219056</v>
      </c>
      <c r="BG137" s="117">
        <v>89500</v>
      </c>
      <c r="BH137" s="117"/>
      <c r="BI137" s="117">
        <v>65517</v>
      </c>
      <c r="BJ137" s="117">
        <v>64039</v>
      </c>
      <c r="BK137" s="117"/>
      <c r="BL137" s="117"/>
      <c r="BM137" s="117"/>
      <c r="BN137" s="117"/>
      <c r="BO137" s="117"/>
      <c r="BP137" s="117"/>
      <c r="BQ137" s="117"/>
      <c r="BR137" s="117"/>
      <c r="BS137" s="94"/>
      <c r="BT137" s="117">
        <f t="shared" si="275"/>
        <v>0</v>
      </c>
      <c r="BU137" s="117"/>
      <c r="BV137" s="117"/>
      <c r="BW137" s="117"/>
      <c r="BX137" s="117"/>
      <c r="BY137" s="117"/>
      <c r="BZ137" s="117"/>
      <c r="CA137" s="94"/>
      <c r="CB137" s="117">
        <v>0</v>
      </c>
    </row>
    <row r="138" spans="1:80">
      <c r="A138" s="91" t="s">
        <v>589</v>
      </c>
      <c r="B138" s="144">
        <f>SUM(C138:N138)</f>
        <v>0</v>
      </c>
      <c r="C138" s="144">
        <v>0</v>
      </c>
      <c r="D138" s="144">
        <v>0</v>
      </c>
      <c r="E138" s="144">
        <v>0</v>
      </c>
      <c r="F138" s="144">
        <v>0</v>
      </c>
      <c r="G138" s="144">
        <v>0</v>
      </c>
      <c r="H138" s="144">
        <v>0</v>
      </c>
      <c r="I138" s="144">
        <v>0</v>
      </c>
      <c r="J138" s="144">
        <v>0</v>
      </c>
      <c r="K138" s="144">
        <v>0</v>
      </c>
      <c r="L138" s="144">
        <v>0</v>
      </c>
      <c r="M138" s="144">
        <v>0</v>
      </c>
      <c r="N138" s="144">
        <v>0</v>
      </c>
      <c r="O138" s="91"/>
      <c r="P138" s="144">
        <f>SUM(Q138:AB138)</f>
        <v>136134</v>
      </c>
      <c r="Q138" s="117">
        <v>21008</v>
      </c>
      <c r="R138" s="117">
        <v>25378</v>
      </c>
      <c r="S138" s="117">
        <v>0</v>
      </c>
      <c r="T138" s="117">
        <v>0</v>
      </c>
      <c r="U138" s="117">
        <v>21008</v>
      </c>
      <c r="V138" s="117">
        <v>0</v>
      </c>
      <c r="W138" s="117">
        <v>20168</v>
      </c>
      <c r="X138" s="117">
        <v>0</v>
      </c>
      <c r="Y138" s="117">
        <v>0</v>
      </c>
      <c r="Z138" s="117">
        <v>31849</v>
      </c>
      <c r="AA138" s="117">
        <v>0</v>
      </c>
      <c r="AB138" s="117">
        <v>16723</v>
      </c>
      <c r="AC138" s="91"/>
      <c r="AD138" s="117">
        <f t="shared" ref="Q138:AD146" si="276">SUM(AE138:AP138)</f>
        <v>119817.82</v>
      </c>
      <c r="AE138" s="117">
        <v>0</v>
      </c>
      <c r="AF138" s="117">
        <v>0</v>
      </c>
      <c r="AG138" s="117">
        <v>0</v>
      </c>
      <c r="AH138" s="117">
        <v>0</v>
      </c>
      <c r="AI138" s="117">
        <v>0</v>
      </c>
      <c r="AJ138" s="117">
        <v>93420.160000000003</v>
      </c>
      <c r="AK138" s="117">
        <v>16000</v>
      </c>
      <c r="AL138" s="117">
        <v>10397.660000000003</v>
      </c>
      <c r="AM138" s="117">
        <v>0</v>
      </c>
      <c r="AN138" s="117">
        <v>0</v>
      </c>
      <c r="AO138" s="117">
        <v>0</v>
      </c>
      <c r="AP138" s="117">
        <v>0</v>
      </c>
      <c r="AQ138" s="91"/>
      <c r="AR138" s="117">
        <f>SUM(AS138:BD138)</f>
        <v>389602</v>
      </c>
      <c r="AS138" s="117"/>
      <c r="AT138" s="117"/>
      <c r="AU138" s="117">
        <v>0</v>
      </c>
      <c r="AV138" s="117">
        <v>42000</v>
      </c>
      <c r="AW138" s="117">
        <v>63308</v>
      </c>
      <c r="AX138" s="117"/>
      <c r="AY138" s="117">
        <v>22000</v>
      </c>
      <c r="AZ138" s="117">
        <v>0</v>
      </c>
      <c r="BA138" s="117">
        <v>0</v>
      </c>
      <c r="BB138" s="117">
        <v>123000</v>
      </c>
      <c r="BC138" s="117">
        <v>139294</v>
      </c>
      <c r="BD138" s="117">
        <v>0</v>
      </c>
      <c r="BE138" s="94"/>
      <c r="BF138" s="117">
        <v>238183</v>
      </c>
      <c r="BG138" s="117"/>
      <c r="BH138" s="117"/>
      <c r="BI138" s="117">
        <v>4500</v>
      </c>
      <c r="BJ138" s="117">
        <v>233683</v>
      </c>
      <c r="BK138" s="117"/>
      <c r="BL138" s="117"/>
      <c r="BM138" s="117"/>
      <c r="BN138" s="117"/>
      <c r="BO138" s="117"/>
      <c r="BP138" s="117"/>
      <c r="BQ138" s="117"/>
      <c r="BR138" s="117"/>
      <c r="BS138" s="94"/>
      <c r="BT138" s="117">
        <f t="shared" si="275"/>
        <v>0</v>
      </c>
      <c r="BU138" s="117"/>
      <c r="BV138" s="117"/>
      <c r="BW138" s="117"/>
      <c r="BX138" s="117"/>
      <c r="BY138" s="117"/>
      <c r="BZ138" s="117"/>
      <c r="CA138" s="94"/>
      <c r="CB138" s="117">
        <v>0</v>
      </c>
    </row>
    <row r="139" spans="1:80" ht="12.75" hidden="1" thickBot="1">
      <c r="A139" s="91" t="s">
        <v>321</v>
      </c>
      <c r="B139" s="173">
        <f>SUM(C139:N139)</f>
        <v>0</v>
      </c>
      <c r="C139" s="173">
        <f t="shared" ref="C139:N139" si="277">SUM(E139:P139)</f>
        <v>0</v>
      </c>
      <c r="D139" s="173">
        <f t="shared" si="277"/>
        <v>0</v>
      </c>
      <c r="E139" s="173">
        <f t="shared" si="277"/>
        <v>0</v>
      </c>
      <c r="F139" s="173">
        <f t="shared" si="277"/>
        <v>0</v>
      </c>
      <c r="G139" s="173">
        <f t="shared" si="277"/>
        <v>0</v>
      </c>
      <c r="H139" s="173">
        <f t="shared" si="277"/>
        <v>0</v>
      </c>
      <c r="I139" s="173">
        <f t="shared" si="277"/>
        <v>0</v>
      </c>
      <c r="J139" s="173">
        <f t="shared" si="277"/>
        <v>0</v>
      </c>
      <c r="K139" s="173">
        <f t="shared" si="277"/>
        <v>0</v>
      </c>
      <c r="L139" s="173">
        <f t="shared" si="277"/>
        <v>0</v>
      </c>
      <c r="M139" s="173">
        <f t="shared" si="277"/>
        <v>0</v>
      </c>
      <c r="N139" s="173">
        <f t="shared" si="277"/>
        <v>0</v>
      </c>
      <c r="O139" s="91"/>
      <c r="P139" s="173">
        <f>SUM(Q139:AB139)</f>
        <v>0</v>
      </c>
      <c r="Q139" s="110">
        <f t="shared" si="276"/>
        <v>0</v>
      </c>
      <c r="R139" s="110">
        <f t="shared" si="276"/>
        <v>0</v>
      </c>
      <c r="S139" s="110">
        <f t="shared" si="276"/>
        <v>0</v>
      </c>
      <c r="T139" s="110">
        <f t="shared" si="276"/>
        <v>0</v>
      </c>
      <c r="U139" s="110">
        <f t="shared" si="276"/>
        <v>0</v>
      </c>
      <c r="V139" s="110">
        <f t="shared" si="276"/>
        <v>0</v>
      </c>
      <c r="W139" s="110">
        <f t="shared" si="276"/>
        <v>0</v>
      </c>
      <c r="X139" s="110">
        <f t="shared" si="276"/>
        <v>0</v>
      </c>
      <c r="Y139" s="110">
        <f t="shared" si="276"/>
        <v>0</v>
      </c>
      <c r="Z139" s="110">
        <f t="shared" si="276"/>
        <v>0</v>
      </c>
      <c r="AA139" s="110">
        <f t="shared" si="276"/>
        <v>0</v>
      </c>
      <c r="AB139" s="110">
        <f t="shared" si="276"/>
        <v>0</v>
      </c>
      <c r="AC139" s="91"/>
      <c r="AD139" s="110">
        <f t="shared" si="276"/>
        <v>0</v>
      </c>
      <c r="AE139" s="110"/>
      <c r="AF139" s="117">
        <v>0</v>
      </c>
      <c r="AG139" s="117">
        <v>0</v>
      </c>
      <c r="AH139" s="117">
        <v>0</v>
      </c>
      <c r="AI139" s="117">
        <v>0</v>
      </c>
      <c r="AJ139" s="110"/>
      <c r="AK139" s="110"/>
      <c r="AL139" s="110"/>
      <c r="AM139" s="110"/>
      <c r="AN139" s="110"/>
      <c r="AO139" s="110"/>
      <c r="AP139" s="110"/>
      <c r="AQ139" s="91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94"/>
      <c r="BF139" s="110">
        <v>0</v>
      </c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  <c r="BS139" s="94"/>
      <c r="BT139" s="110">
        <f t="shared" si="275"/>
        <v>0</v>
      </c>
      <c r="BU139" s="110"/>
      <c r="BV139" s="110"/>
      <c r="BW139" s="110"/>
      <c r="BX139" s="110"/>
      <c r="BY139" s="110"/>
      <c r="BZ139" s="110"/>
      <c r="CA139" s="94"/>
      <c r="CB139" s="110"/>
    </row>
    <row r="140" spans="1:80" hidden="1">
      <c r="A140" s="91" t="s">
        <v>322</v>
      </c>
      <c r="B140" s="117">
        <f t="shared" ref="B140:B145" si="278">SUM(C140:AJ140)</f>
        <v>0</v>
      </c>
      <c r="C140" s="117">
        <f t="shared" ref="C140:N140" si="279">SUM(E140:Z140)</f>
        <v>0</v>
      </c>
      <c r="D140" s="117">
        <f t="shared" si="279"/>
        <v>0</v>
      </c>
      <c r="E140" s="117">
        <f t="shared" si="279"/>
        <v>0</v>
      </c>
      <c r="F140" s="117">
        <f t="shared" si="279"/>
        <v>0</v>
      </c>
      <c r="G140" s="117">
        <f t="shared" si="279"/>
        <v>0</v>
      </c>
      <c r="H140" s="117">
        <f t="shared" si="279"/>
        <v>0</v>
      </c>
      <c r="I140" s="117">
        <f t="shared" si="279"/>
        <v>0</v>
      </c>
      <c r="J140" s="117">
        <f t="shared" si="279"/>
        <v>0</v>
      </c>
      <c r="K140" s="117">
        <f t="shared" si="279"/>
        <v>0</v>
      </c>
      <c r="L140" s="117">
        <f t="shared" si="279"/>
        <v>0</v>
      </c>
      <c r="M140" s="117">
        <f t="shared" si="279"/>
        <v>0</v>
      </c>
      <c r="N140" s="117">
        <f t="shared" si="279"/>
        <v>0</v>
      </c>
      <c r="O140" s="91"/>
      <c r="P140" s="117">
        <f t="shared" ref="P140:P145" si="280">SUM(Q140:AL140)</f>
        <v>0</v>
      </c>
      <c r="Q140" s="117">
        <f t="shared" si="276"/>
        <v>0</v>
      </c>
      <c r="R140" s="117">
        <f t="shared" si="276"/>
        <v>0</v>
      </c>
      <c r="S140" s="117">
        <f t="shared" si="276"/>
        <v>0</v>
      </c>
      <c r="T140" s="117">
        <f t="shared" si="276"/>
        <v>0</v>
      </c>
      <c r="U140" s="117">
        <f t="shared" si="276"/>
        <v>0</v>
      </c>
      <c r="V140" s="117">
        <f t="shared" si="276"/>
        <v>0</v>
      </c>
      <c r="W140" s="117">
        <f t="shared" si="276"/>
        <v>0</v>
      </c>
      <c r="X140" s="117">
        <f t="shared" si="276"/>
        <v>0</v>
      </c>
      <c r="Y140" s="117">
        <f t="shared" si="276"/>
        <v>0</v>
      </c>
      <c r="Z140" s="117">
        <f t="shared" si="276"/>
        <v>0</v>
      </c>
      <c r="AA140" s="117">
        <f t="shared" si="276"/>
        <v>0</v>
      </c>
      <c r="AB140" s="117">
        <f t="shared" si="276"/>
        <v>0</v>
      </c>
      <c r="AC140" s="91"/>
      <c r="AD140" s="117">
        <f t="shared" si="276"/>
        <v>0</v>
      </c>
      <c r="AE140" s="117">
        <v>0</v>
      </c>
      <c r="AF140" s="117">
        <v>0</v>
      </c>
      <c r="AG140" s="117">
        <v>0</v>
      </c>
      <c r="AH140" s="117">
        <v>0</v>
      </c>
      <c r="AI140" s="117">
        <v>0</v>
      </c>
      <c r="AJ140" s="117">
        <v>0</v>
      </c>
      <c r="AK140" s="117">
        <v>0</v>
      </c>
      <c r="AL140" s="117">
        <v>0</v>
      </c>
      <c r="AM140" s="117">
        <v>0</v>
      </c>
      <c r="AN140" s="117">
        <v>0</v>
      </c>
      <c r="AO140" s="117">
        <v>0</v>
      </c>
      <c r="AP140" s="117">
        <v>0</v>
      </c>
      <c r="AQ140" s="91"/>
      <c r="AR140" s="117">
        <f>SUM(AS140:BD140)</f>
        <v>0</v>
      </c>
      <c r="AS140" s="117"/>
      <c r="AT140" s="117"/>
      <c r="AU140" s="117">
        <v>0</v>
      </c>
      <c r="AV140" s="117"/>
      <c r="AW140" s="117"/>
      <c r="AX140" s="117"/>
      <c r="AY140" s="117">
        <v>0</v>
      </c>
      <c r="AZ140" s="117">
        <v>0</v>
      </c>
      <c r="BA140" s="117">
        <v>0</v>
      </c>
      <c r="BB140" s="117">
        <v>0</v>
      </c>
      <c r="BC140" s="117">
        <v>0</v>
      </c>
      <c r="BD140" s="117">
        <v>0</v>
      </c>
      <c r="BE140" s="94"/>
      <c r="BF140" s="117">
        <v>0</v>
      </c>
      <c r="BG140" s="117"/>
      <c r="BH140" s="117"/>
      <c r="BI140" s="117"/>
      <c r="BJ140" s="117"/>
      <c r="BK140" s="117"/>
      <c r="BL140" s="117"/>
      <c r="BM140" s="117"/>
      <c r="BN140" s="117"/>
      <c r="BO140" s="117"/>
      <c r="BP140" s="117"/>
      <c r="BQ140" s="117"/>
      <c r="BR140" s="117"/>
      <c r="BS140" s="94"/>
      <c r="BT140" s="117"/>
      <c r="BU140" s="117"/>
      <c r="BV140" s="117"/>
      <c r="BW140" s="117"/>
      <c r="BX140" s="117"/>
      <c r="BY140" s="117"/>
      <c r="BZ140" s="117"/>
      <c r="CA140" s="94"/>
      <c r="CB140" s="117"/>
    </row>
    <row r="141" spans="1:80" ht="12.75" thickBot="1">
      <c r="A141" s="91" t="s">
        <v>323</v>
      </c>
      <c r="B141" s="117">
        <f t="shared" si="278"/>
        <v>746000</v>
      </c>
      <c r="C141" s="117">
        <v>0</v>
      </c>
      <c r="D141" s="117">
        <v>0</v>
      </c>
      <c r="E141" s="117">
        <v>0</v>
      </c>
      <c r="F141" s="117">
        <v>0</v>
      </c>
      <c r="G141" s="117">
        <v>0</v>
      </c>
      <c r="H141" s="117">
        <v>0</v>
      </c>
      <c r="I141" s="117">
        <v>0</v>
      </c>
      <c r="J141" s="117">
        <v>0</v>
      </c>
      <c r="K141" s="117">
        <v>0</v>
      </c>
      <c r="L141" s="117">
        <v>0</v>
      </c>
      <c r="M141" s="117">
        <v>0</v>
      </c>
      <c r="N141" s="117">
        <v>0</v>
      </c>
      <c r="O141" s="91"/>
      <c r="P141" s="117">
        <f t="shared" si="280"/>
        <v>373000</v>
      </c>
      <c r="Q141" s="117">
        <v>73000</v>
      </c>
      <c r="R141" s="117">
        <v>0</v>
      </c>
      <c r="S141" s="117">
        <v>0</v>
      </c>
      <c r="T141" s="117">
        <v>0</v>
      </c>
      <c r="U141" s="117">
        <v>0</v>
      </c>
      <c r="V141" s="117">
        <v>0</v>
      </c>
      <c r="W141" s="117">
        <v>0</v>
      </c>
      <c r="X141" s="117">
        <v>0</v>
      </c>
      <c r="Y141" s="117">
        <v>0</v>
      </c>
      <c r="Z141" s="117">
        <v>300000</v>
      </c>
      <c r="AA141" s="117">
        <f t="shared" si="276"/>
        <v>0</v>
      </c>
      <c r="AB141" s="117">
        <f t="shared" si="276"/>
        <v>0</v>
      </c>
      <c r="AC141" s="91"/>
      <c r="AD141" s="117">
        <f t="shared" si="276"/>
        <v>0</v>
      </c>
      <c r="AE141" s="117"/>
      <c r="AF141" s="117">
        <v>0</v>
      </c>
      <c r="AG141" s="117">
        <v>0</v>
      </c>
      <c r="AH141" s="117">
        <v>0</v>
      </c>
      <c r="AI141" s="117">
        <v>0</v>
      </c>
      <c r="AJ141" s="117"/>
      <c r="AK141" s="117"/>
      <c r="AL141" s="117"/>
      <c r="AM141" s="117"/>
      <c r="AN141" s="117"/>
      <c r="AO141" s="117"/>
      <c r="AP141" s="117"/>
      <c r="AQ141" s="91"/>
      <c r="AR141" s="117"/>
      <c r="AS141" s="117"/>
      <c r="AT141" s="117"/>
      <c r="AU141" s="117"/>
      <c r="AV141" s="117"/>
      <c r="AW141" s="117"/>
      <c r="AX141" s="117"/>
      <c r="AY141" s="117"/>
      <c r="AZ141" s="117"/>
      <c r="BA141" s="117"/>
      <c r="BB141" s="117"/>
      <c r="BC141" s="117"/>
      <c r="BD141" s="117"/>
      <c r="BE141" s="94"/>
      <c r="BF141" s="117"/>
      <c r="BG141" s="117"/>
      <c r="BH141" s="117"/>
      <c r="BI141" s="117"/>
      <c r="BJ141" s="117"/>
      <c r="BK141" s="117"/>
      <c r="BL141" s="117"/>
      <c r="BM141" s="117"/>
      <c r="BN141" s="117"/>
      <c r="BO141" s="117"/>
      <c r="BP141" s="117"/>
      <c r="BQ141" s="117"/>
      <c r="BR141" s="117"/>
      <c r="BS141" s="94"/>
      <c r="BT141" s="117">
        <f t="shared" si="275"/>
        <v>0</v>
      </c>
      <c r="BU141" s="117"/>
      <c r="BV141" s="117"/>
      <c r="BW141" s="117"/>
      <c r="BX141" s="117"/>
      <c r="BY141" s="117"/>
      <c r="BZ141" s="117"/>
      <c r="CB141" s="117"/>
    </row>
    <row r="142" spans="1:80" ht="12.75" hidden="1" thickBot="1">
      <c r="A142" s="91" t="s">
        <v>324</v>
      </c>
      <c r="B142" s="110">
        <f t="shared" si="278"/>
        <v>0</v>
      </c>
      <c r="C142" s="110">
        <f t="shared" ref="C142:N145" si="281">SUM(E142:Z142)</f>
        <v>0</v>
      </c>
      <c r="D142" s="110">
        <f t="shared" si="281"/>
        <v>0</v>
      </c>
      <c r="E142" s="110">
        <f t="shared" si="281"/>
        <v>0</v>
      </c>
      <c r="F142" s="110">
        <f t="shared" si="281"/>
        <v>0</v>
      </c>
      <c r="G142" s="110">
        <f t="shared" si="281"/>
        <v>0</v>
      </c>
      <c r="H142" s="110">
        <f t="shared" si="281"/>
        <v>0</v>
      </c>
      <c r="I142" s="110">
        <f t="shared" si="281"/>
        <v>0</v>
      </c>
      <c r="J142" s="110">
        <f t="shared" si="281"/>
        <v>0</v>
      </c>
      <c r="K142" s="110">
        <f t="shared" si="281"/>
        <v>0</v>
      </c>
      <c r="L142" s="110">
        <f t="shared" si="281"/>
        <v>0</v>
      </c>
      <c r="M142" s="110">
        <f t="shared" si="281"/>
        <v>0</v>
      </c>
      <c r="N142" s="110">
        <f t="shared" si="281"/>
        <v>0</v>
      </c>
      <c r="O142" s="91"/>
      <c r="P142" s="110">
        <f t="shared" si="280"/>
        <v>0</v>
      </c>
      <c r="Q142" s="110">
        <f t="shared" si="276"/>
        <v>0</v>
      </c>
      <c r="R142" s="110">
        <f t="shared" si="276"/>
        <v>0</v>
      </c>
      <c r="S142" s="110">
        <f t="shared" si="276"/>
        <v>0</v>
      </c>
      <c r="T142" s="110">
        <f t="shared" si="276"/>
        <v>0</v>
      </c>
      <c r="U142" s="110">
        <f t="shared" si="276"/>
        <v>0</v>
      </c>
      <c r="V142" s="110">
        <f t="shared" si="276"/>
        <v>0</v>
      </c>
      <c r="W142" s="110">
        <f t="shared" si="276"/>
        <v>0</v>
      </c>
      <c r="X142" s="110">
        <f t="shared" si="276"/>
        <v>0</v>
      </c>
      <c r="Y142" s="110">
        <f t="shared" si="276"/>
        <v>0</v>
      </c>
      <c r="Z142" s="110">
        <f t="shared" si="276"/>
        <v>0</v>
      </c>
      <c r="AA142" s="110">
        <f t="shared" si="276"/>
        <v>0</v>
      </c>
      <c r="AB142" s="110">
        <f t="shared" si="276"/>
        <v>0</v>
      </c>
      <c r="AC142" s="91"/>
      <c r="AD142" s="110">
        <f t="shared" si="276"/>
        <v>0</v>
      </c>
      <c r="AE142" s="110"/>
      <c r="AF142" s="117">
        <v>0</v>
      </c>
      <c r="AG142" s="117">
        <v>0</v>
      </c>
      <c r="AH142" s="117">
        <v>0</v>
      </c>
      <c r="AI142" s="117">
        <v>0</v>
      </c>
      <c r="AJ142" s="110"/>
      <c r="AK142" s="110"/>
      <c r="AL142" s="110"/>
      <c r="AM142" s="110"/>
      <c r="AN142" s="110"/>
      <c r="AO142" s="110"/>
      <c r="AP142" s="110"/>
      <c r="AQ142" s="91"/>
      <c r="AR142" s="110"/>
      <c r="AS142" s="110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  <c r="BD142" s="110"/>
      <c r="BE142" s="94"/>
      <c r="BF142" s="110"/>
      <c r="BG142" s="110"/>
      <c r="BH142" s="110"/>
      <c r="BI142" s="110"/>
      <c r="BJ142" s="110"/>
      <c r="BK142" s="110"/>
      <c r="BL142" s="110"/>
      <c r="BM142" s="110"/>
      <c r="BN142" s="110"/>
      <c r="BO142" s="110"/>
      <c r="BP142" s="110"/>
      <c r="BQ142" s="110"/>
      <c r="BR142" s="110"/>
      <c r="BS142" s="94"/>
      <c r="BT142" s="110">
        <f t="shared" si="275"/>
        <v>0</v>
      </c>
      <c r="BU142" s="110"/>
      <c r="BV142" s="110"/>
      <c r="BW142" s="110"/>
      <c r="BX142" s="110"/>
      <c r="BY142" s="110"/>
      <c r="BZ142" s="110"/>
      <c r="CB142" s="110"/>
    </row>
    <row r="143" spans="1:80" ht="12.75" hidden="1" thickBot="1">
      <c r="A143" s="91" t="s">
        <v>296</v>
      </c>
      <c r="B143" s="117">
        <f t="shared" si="278"/>
        <v>0</v>
      </c>
      <c r="C143" s="117">
        <f t="shared" si="281"/>
        <v>0</v>
      </c>
      <c r="D143" s="117">
        <f t="shared" si="281"/>
        <v>0</v>
      </c>
      <c r="E143" s="117">
        <f t="shared" si="281"/>
        <v>0</v>
      </c>
      <c r="F143" s="117">
        <f t="shared" si="281"/>
        <v>0</v>
      </c>
      <c r="G143" s="117">
        <f t="shared" si="281"/>
        <v>0</v>
      </c>
      <c r="H143" s="117">
        <f t="shared" si="281"/>
        <v>0</v>
      </c>
      <c r="I143" s="117">
        <f t="shared" si="281"/>
        <v>0</v>
      </c>
      <c r="J143" s="117">
        <f t="shared" si="281"/>
        <v>0</v>
      </c>
      <c r="K143" s="117">
        <f t="shared" si="281"/>
        <v>0</v>
      </c>
      <c r="L143" s="117">
        <f t="shared" si="281"/>
        <v>0</v>
      </c>
      <c r="M143" s="117">
        <f t="shared" si="281"/>
        <v>0</v>
      </c>
      <c r="N143" s="117">
        <f t="shared" si="281"/>
        <v>0</v>
      </c>
      <c r="O143" s="91"/>
      <c r="P143" s="117">
        <f t="shared" si="280"/>
        <v>0</v>
      </c>
      <c r="Q143" s="117">
        <f t="shared" si="276"/>
        <v>0</v>
      </c>
      <c r="R143" s="117">
        <f t="shared" si="276"/>
        <v>0</v>
      </c>
      <c r="S143" s="117">
        <f t="shared" si="276"/>
        <v>0</v>
      </c>
      <c r="T143" s="117">
        <f t="shared" si="276"/>
        <v>0</v>
      </c>
      <c r="U143" s="117">
        <f t="shared" si="276"/>
        <v>0</v>
      </c>
      <c r="V143" s="117">
        <f t="shared" si="276"/>
        <v>0</v>
      </c>
      <c r="W143" s="117">
        <f t="shared" si="276"/>
        <v>0</v>
      </c>
      <c r="X143" s="117">
        <f t="shared" si="276"/>
        <v>0</v>
      </c>
      <c r="Y143" s="117">
        <f t="shared" si="276"/>
        <v>0</v>
      </c>
      <c r="Z143" s="117">
        <f t="shared" si="276"/>
        <v>0</v>
      </c>
      <c r="AA143" s="117">
        <f t="shared" si="276"/>
        <v>0</v>
      </c>
      <c r="AB143" s="117">
        <f t="shared" si="276"/>
        <v>0</v>
      </c>
      <c r="AC143" s="91"/>
      <c r="AD143" s="117">
        <f t="shared" si="276"/>
        <v>0</v>
      </c>
      <c r="AE143" s="117"/>
      <c r="AF143" s="117">
        <v>0</v>
      </c>
      <c r="AG143" s="117">
        <v>0</v>
      </c>
      <c r="AH143" s="117">
        <v>0</v>
      </c>
      <c r="AI143" s="117">
        <v>0</v>
      </c>
      <c r="AJ143" s="117"/>
      <c r="AK143" s="117"/>
      <c r="AL143" s="117"/>
      <c r="AM143" s="117"/>
      <c r="AN143" s="117"/>
      <c r="AO143" s="117"/>
      <c r="AP143" s="117"/>
      <c r="AQ143" s="91"/>
      <c r="AR143" s="117"/>
      <c r="AS143" s="117"/>
      <c r="AT143" s="117"/>
      <c r="AU143" s="117"/>
      <c r="AV143" s="117"/>
      <c r="AW143" s="117"/>
      <c r="AX143" s="117"/>
      <c r="AY143" s="117"/>
      <c r="AZ143" s="117"/>
      <c r="BA143" s="117"/>
      <c r="BB143" s="117"/>
      <c r="BC143" s="117"/>
      <c r="BD143" s="117"/>
      <c r="BE143" s="94"/>
      <c r="BF143" s="117"/>
      <c r="BG143" s="117"/>
      <c r="BH143" s="117"/>
      <c r="BI143" s="117"/>
      <c r="BJ143" s="117"/>
      <c r="BK143" s="117"/>
      <c r="BL143" s="117"/>
      <c r="BM143" s="117"/>
      <c r="BN143" s="117"/>
      <c r="BO143" s="117"/>
      <c r="BP143" s="117"/>
      <c r="BQ143" s="117"/>
      <c r="BR143" s="117"/>
      <c r="BS143" s="94"/>
      <c r="BT143" s="117">
        <f t="shared" si="275"/>
        <v>0</v>
      </c>
      <c r="BU143" s="117"/>
      <c r="BV143" s="117"/>
      <c r="BW143" s="117"/>
      <c r="BX143" s="117"/>
      <c r="BY143" s="117"/>
      <c r="BZ143" s="117"/>
      <c r="CB143" s="117">
        <v>0</v>
      </c>
    </row>
    <row r="144" spans="1:80" ht="12.75" hidden="1" thickBot="1">
      <c r="A144" s="91" t="s">
        <v>310</v>
      </c>
      <c r="B144" s="117">
        <f t="shared" si="278"/>
        <v>0</v>
      </c>
      <c r="C144" s="117">
        <f t="shared" si="281"/>
        <v>0</v>
      </c>
      <c r="D144" s="117">
        <f t="shared" si="281"/>
        <v>0</v>
      </c>
      <c r="E144" s="117">
        <f t="shared" si="281"/>
        <v>0</v>
      </c>
      <c r="F144" s="117">
        <f t="shared" si="281"/>
        <v>0</v>
      </c>
      <c r="G144" s="117">
        <f t="shared" si="281"/>
        <v>0</v>
      </c>
      <c r="H144" s="117">
        <f t="shared" si="281"/>
        <v>0</v>
      </c>
      <c r="I144" s="117">
        <f t="shared" si="281"/>
        <v>0</v>
      </c>
      <c r="J144" s="117">
        <f t="shared" si="281"/>
        <v>0</v>
      </c>
      <c r="K144" s="117">
        <f t="shared" si="281"/>
        <v>0</v>
      </c>
      <c r="L144" s="117">
        <f t="shared" si="281"/>
        <v>0</v>
      </c>
      <c r="M144" s="117">
        <f t="shared" si="281"/>
        <v>0</v>
      </c>
      <c r="N144" s="117">
        <f t="shared" si="281"/>
        <v>0</v>
      </c>
      <c r="O144" s="91"/>
      <c r="P144" s="117">
        <f t="shared" si="280"/>
        <v>0</v>
      </c>
      <c r="Q144" s="117">
        <f t="shared" si="276"/>
        <v>0</v>
      </c>
      <c r="R144" s="117">
        <f t="shared" si="276"/>
        <v>0</v>
      </c>
      <c r="S144" s="117">
        <f t="shared" si="276"/>
        <v>0</v>
      </c>
      <c r="T144" s="117">
        <f t="shared" si="276"/>
        <v>0</v>
      </c>
      <c r="U144" s="117">
        <f t="shared" si="276"/>
        <v>0</v>
      </c>
      <c r="V144" s="117">
        <f t="shared" si="276"/>
        <v>0</v>
      </c>
      <c r="W144" s="117">
        <f t="shared" si="276"/>
        <v>0</v>
      </c>
      <c r="X144" s="117">
        <f t="shared" si="276"/>
        <v>0</v>
      </c>
      <c r="Y144" s="117">
        <f t="shared" si="276"/>
        <v>0</v>
      </c>
      <c r="Z144" s="117">
        <f t="shared" si="276"/>
        <v>0</v>
      </c>
      <c r="AA144" s="117">
        <f t="shared" si="276"/>
        <v>0</v>
      </c>
      <c r="AB144" s="117">
        <f t="shared" si="276"/>
        <v>0</v>
      </c>
      <c r="AC144" s="91"/>
      <c r="AD144" s="117">
        <f t="shared" si="276"/>
        <v>0</v>
      </c>
      <c r="AE144" s="117"/>
      <c r="AF144" s="117">
        <v>0</v>
      </c>
      <c r="AG144" s="117">
        <v>0</v>
      </c>
      <c r="AH144" s="117">
        <v>0</v>
      </c>
      <c r="AI144" s="117">
        <v>0</v>
      </c>
      <c r="AJ144" s="117"/>
      <c r="AK144" s="117"/>
      <c r="AL144" s="117"/>
      <c r="AM144" s="117"/>
      <c r="AN144" s="117"/>
      <c r="AO144" s="117"/>
      <c r="AP144" s="117"/>
      <c r="AQ144" s="91"/>
      <c r="AR144" s="117"/>
      <c r="AS144" s="117"/>
      <c r="AT144" s="117"/>
      <c r="AU144" s="117"/>
      <c r="AV144" s="117"/>
      <c r="AW144" s="117"/>
      <c r="AX144" s="117"/>
      <c r="AY144" s="117"/>
      <c r="AZ144" s="117"/>
      <c r="BA144" s="117"/>
      <c r="BB144" s="117"/>
      <c r="BC144" s="117"/>
      <c r="BD144" s="117"/>
      <c r="BE144" s="94"/>
      <c r="BF144" s="117"/>
      <c r="BG144" s="117"/>
      <c r="BH144" s="117"/>
      <c r="BI144" s="117"/>
      <c r="BJ144" s="117"/>
      <c r="BK144" s="117"/>
      <c r="BL144" s="117"/>
      <c r="BM144" s="117"/>
      <c r="BN144" s="117"/>
      <c r="BO144" s="117"/>
      <c r="BP144" s="117"/>
      <c r="BQ144" s="117"/>
      <c r="BR144" s="117"/>
      <c r="BS144" s="94"/>
      <c r="BT144" s="117">
        <f t="shared" si="275"/>
        <v>0</v>
      </c>
      <c r="BU144" s="117"/>
      <c r="BV144" s="117"/>
      <c r="BW144" s="117"/>
      <c r="BX144" s="117"/>
      <c r="BY144" s="117"/>
      <c r="BZ144" s="117"/>
      <c r="CB144" s="117"/>
    </row>
    <row r="145" spans="1:80" ht="12.75" hidden="1" thickBot="1">
      <c r="A145" s="91" t="s">
        <v>325</v>
      </c>
      <c r="B145" s="110">
        <f t="shared" si="278"/>
        <v>0</v>
      </c>
      <c r="C145" s="110">
        <f t="shared" si="281"/>
        <v>0</v>
      </c>
      <c r="D145" s="110">
        <f t="shared" si="281"/>
        <v>0</v>
      </c>
      <c r="E145" s="110">
        <f t="shared" si="281"/>
        <v>0</v>
      </c>
      <c r="F145" s="110">
        <f t="shared" si="281"/>
        <v>0</v>
      </c>
      <c r="G145" s="110">
        <f t="shared" si="281"/>
        <v>0</v>
      </c>
      <c r="H145" s="110">
        <f t="shared" si="281"/>
        <v>0</v>
      </c>
      <c r="I145" s="110">
        <f t="shared" si="281"/>
        <v>0</v>
      </c>
      <c r="J145" s="110">
        <f t="shared" si="281"/>
        <v>0</v>
      </c>
      <c r="K145" s="110">
        <f t="shared" si="281"/>
        <v>0</v>
      </c>
      <c r="L145" s="110">
        <f t="shared" si="281"/>
        <v>0</v>
      </c>
      <c r="M145" s="110">
        <f t="shared" si="281"/>
        <v>0</v>
      </c>
      <c r="N145" s="110">
        <f t="shared" si="281"/>
        <v>0</v>
      </c>
      <c r="O145" s="91"/>
      <c r="P145" s="110">
        <f t="shared" si="280"/>
        <v>0</v>
      </c>
      <c r="Q145" s="110">
        <f t="shared" si="276"/>
        <v>0</v>
      </c>
      <c r="R145" s="110">
        <f t="shared" si="276"/>
        <v>0</v>
      </c>
      <c r="S145" s="110">
        <f t="shared" si="276"/>
        <v>0</v>
      </c>
      <c r="T145" s="110">
        <f t="shared" si="276"/>
        <v>0</v>
      </c>
      <c r="U145" s="110">
        <f t="shared" si="276"/>
        <v>0</v>
      </c>
      <c r="V145" s="110">
        <f t="shared" si="276"/>
        <v>0</v>
      </c>
      <c r="W145" s="110">
        <f t="shared" si="276"/>
        <v>0</v>
      </c>
      <c r="X145" s="110">
        <f t="shared" si="276"/>
        <v>0</v>
      </c>
      <c r="Y145" s="110">
        <f t="shared" si="276"/>
        <v>0</v>
      </c>
      <c r="Z145" s="110">
        <f t="shared" si="276"/>
        <v>0</v>
      </c>
      <c r="AA145" s="110">
        <f t="shared" si="276"/>
        <v>0</v>
      </c>
      <c r="AB145" s="110">
        <f t="shared" si="276"/>
        <v>0</v>
      </c>
      <c r="AC145" s="91"/>
      <c r="AD145" s="110">
        <f t="shared" si="276"/>
        <v>0</v>
      </c>
      <c r="AE145" s="110"/>
      <c r="AF145" s="117">
        <v>0</v>
      </c>
      <c r="AG145" s="117">
        <v>0</v>
      </c>
      <c r="AH145" s="117">
        <v>0</v>
      </c>
      <c r="AI145" s="117">
        <v>0</v>
      </c>
      <c r="AJ145" s="110"/>
      <c r="AK145" s="110"/>
      <c r="AL145" s="110"/>
      <c r="AM145" s="110"/>
      <c r="AN145" s="110"/>
      <c r="AO145" s="110"/>
      <c r="AP145" s="110"/>
      <c r="AQ145" s="91"/>
      <c r="AR145" s="110"/>
      <c r="AS145" s="110"/>
      <c r="AT145" s="110"/>
      <c r="AU145" s="110"/>
      <c r="AV145" s="110"/>
      <c r="AW145" s="110"/>
      <c r="AX145" s="110"/>
      <c r="AY145" s="110"/>
      <c r="AZ145" s="110"/>
      <c r="BA145" s="110"/>
      <c r="BB145" s="110"/>
      <c r="BC145" s="110"/>
      <c r="BD145" s="110"/>
      <c r="BE145" s="94"/>
      <c r="BF145" s="110"/>
      <c r="BG145" s="110"/>
      <c r="BH145" s="110"/>
      <c r="BI145" s="110"/>
      <c r="BJ145" s="110"/>
      <c r="BK145" s="110"/>
      <c r="BL145" s="110"/>
      <c r="BM145" s="110"/>
      <c r="BN145" s="110"/>
      <c r="BO145" s="110"/>
      <c r="BP145" s="110"/>
      <c r="BQ145" s="110"/>
      <c r="BR145" s="110"/>
      <c r="BS145" s="94"/>
      <c r="BT145" s="110">
        <f t="shared" si="275"/>
        <v>0</v>
      </c>
      <c r="BU145" s="110"/>
      <c r="BV145" s="110"/>
      <c r="BW145" s="110"/>
      <c r="BX145" s="110"/>
      <c r="BY145" s="110"/>
      <c r="BZ145" s="110"/>
      <c r="CB145" s="110"/>
    </row>
    <row r="146" spans="1:80" ht="12.75" hidden="1" thickBot="1">
      <c r="A146" s="91" t="s">
        <v>590</v>
      </c>
      <c r="B146" s="173">
        <f>SUM(C146:N146)</f>
        <v>0</v>
      </c>
      <c r="C146" s="173">
        <f t="shared" ref="C146:N146" si="282">SUM(E146:P146)</f>
        <v>0</v>
      </c>
      <c r="D146" s="173">
        <f t="shared" si="282"/>
        <v>0</v>
      </c>
      <c r="E146" s="173">
        <f t="shared" si="282"/>
        <v>0</v>
      </c>
      <c r="F146" s="173">
        <f t="shared" si="282"/>
        <v>0</v>
      </c>
      <c r="G146" s="173">
        <f t="shared" si="282"/>
        <v>0</v>
      </c>
      <c r="H146" s="173">
        <f t="shared" si="282"/>
        <v>0</v>
      </c>
      <c r="I146" s="173">
        <f t="shared" si="282"/>
        <v>0</v>
      </c>
      <c r="J146" s="173">
        <f t="shared" si="282"/>
        <v>0</v>
      </c>
      <c r="K146" s="173">
        <f t="shared" si="282"/>
        <v>0</v>
      </c>
      <c r="L146" s="173">
        <f t="shared" si="282"/>
        <v>0</v>
      </c>
      <c r="M146" s="173">
        <f t="shared" si="282"/>
        <v>0</v>
      </c>
      <c r="N146" s="173">
        <f t="shared" si="282"/>
        <v>0</v>
      </c>
      <c r="O146" s="91"/>
      <c r="P146" s="173">
        <f>SUM(Q146:AB146)</f>
        <v>0</v>
      </c>
      <c r="Q146" s="117">
        <f t="shared" si="276"/>
        <v>0</v>
      </c>
      <c r="R146" s="117">
        <f t="shared" si="276"/>
        <v>0</v>
      </c>
      <c r="S146" s="117">
        <f t="shared" si="276"/>
        <v>0</v>
      </c>
      <c r="T146" s="117">
        <f t="shared" si="276"/>
        <v>0</v>
      </c>
      <c r="U146" s="117">
        <f t="shared" si="276"/>
        <v>0</v>
      </c>
      <c r="V146" s="117">
        <f t="shared" si="276"/>
        <v>0</v>
      </c>
      <c r="W146" s="117">
        <f t="shared" si="276"/>
        <v>0</v>
      </c>
      <c r="X146" s="117">
        <f t="shared" si="276"/>
        <v>0</v>
      </c>
      <c r="Y146" s="117">
        <f t="shared" si="276"/>
        <v>0</v>
      </c>
      <c r="Z146" s="117">
        <f t="shared" si="276"/>
        <v>0</v>
      </c>
      <c r="AA146" s="117">
        <f t="shared" si="276"/>
        <v>0</v>
      </c>
      <c r="AB146" s="117">
        <f t="shared" si="276"/>
        <v>0</v>
      </c>
      <c r="AC146" s="91"/>
      <c r="AD146" s="117">
        <f t="shared" si="276"/>
        <v>0</v>
      </c>
      <c r="AE146" s="117">
        <v>0</v>
      </c>
      <c r="AF146" s="117">
        <v>0</v>
      </c>
      <c r="AG146" s="117">
        <v>0</v>
      </c>
      <c r="AH146" s="117">
        <v>0</v>
      </c>
      <c r="AI146" s="117">
        <v>0</v>
      </c>
      <c r="AJ146" s="117">
        <v>0</v>
      </c>
      <c r="AK146" s="117">
        <v>0</v>
      </c>
      <c r="AL146" s="117">
        <v>0</v>
      </c>
      <c r="AM146" s="117">
        <v>0</v>
      </c>
      <c r="AN146" s="117">
        <v>0</v>
      </c>
      <c r="AO146" s="117">
        <v>0</v>
      </c>
      <c r="AP146" s="117">
        <v>0</v>
      </c>
      <c r="AQ146" s="91"/>
      <c r="AR146" s="117">
        <f>SUM(AS146:BD146)</f>
        <v>199160</v>
      </c>
      <c r="AS146" s="117"/>
      <c r="AT146" s="117"/>
      <c r="AU146" s="117">
        <v>0</v>
      </c>
      <c r="AV146" s="117">
        <v>180000</v>
      </c>
      <c r="AW146" s="117"/>
      <c r="AX146" s="117"/>
      <c r="AY146" s="117">
        <v>0</v>
      </c>
      <c r="AZ146" s="117">
        <v>0</v>
      </c>
      <c r="BA146" s="117">
        <v>0</v>
      </c>
      <c r="BB146" s="117">
        <v>19160</v>
      </c>
      <c r="BC146" s="117">
        <v>0</v>
      </c>
      <c r="BD146" s="117">
        <v>0</v>
      </c>
      <c r="BE146" s="94"/>
      <c r="BF146" s="117">
        <v>0</v>
      </c>
      <c r="BG146" s="117"/>
      <c r="BH146" s="117"/>
      <c r="BI146" s="117"/>
      <c r="BJ146" s="117"/>
      <c r="BK146" s="117"/>
      <c r="BL146" s="117"/>
      <c r="BM146" s="117"/>
      <c r="BN146" s="117"/>
      <c r="BO146" s="117"/>
      <c r="BP146" s="117"/>
      <c r="BQ146" s="117"/>
      <c r="BR146" s="117"/>
      <c r="BS146" s="94"/>
      <c r="BT146" s="117">
        <f t="shared" si="275"/>
        <v>0</v>
      </c>
      <c r="BU146" s="117"/>
      <c r="BV146" s="117"/>
      <c r="BW146" s="117"/>
      <c r="BX146" s="117"/>
      <c r="BY146" s="117"/>
      <c r="BZ146" s="117"/>
      <c r="CA146" s="94"/>
      <c r="CB146" s="117">
        <v>0</v>
      </c>
    </row>
    <row r="147" spans="1:80" ht="13.5" hidden="1" thickTop="1" thickBot="1">
      <c r="A147" s="88" t="s">
        <v>326</v>
      </c>
      <c r="B147" s="76">
        <f>SUM(AC147:AJ147)</f>
        <v>0</v>
      </c>
      <c r="C147" s="76">
        <f t="shared" ref="C147:N150" si="283">SUM(S147:Z147)</f>
        <v>0</v>
      </c>
      <c r="D147" s="76">
        <f t="shared" si="283"/>
        <v>0</v>
      </c>
      <c r="E147" s="76">
        <f t="shared" si="283"/>
        <v>0</v>
      </c>
      <c r="F147" s="76">
        <f t="shared" si="283"/>
        <v>0</v>
      </c>
      <c r="G147" s="76">
        <f t="shared" si="283"/>
        <v>0</v>
      </c>
      <c r="H147" s="76">
        <f t="shared" si="283"/>
        <v>0</v>
      </c>
      <c r="I147" s="76">
        <f t="shared" si="283"/>
        <v>0</v>
      </c>
      <c r="J147" s="76">
        <f t="shared" si="283"/>
        <v>0</v>
      </c>
      <c r="K147" s="76">
        <f t="shared" si="283"/>
        <v>0</v>
      </c>
      <c r="L147" s="76">
        <f t="shared" si="283"/>
        <v>0</v>
      </c>
      <c r="M147" s="76">
        <f t="shared" si="283"/>
        <v>0</v>
      </c>
      <c r="N147" s="76">
        <f t="shared" si="283"/>
        <v>0</v>
      </c>
      <c r="O147" s="91"/>
      <c r="P147" s="76">
        <f>SUM(AE147:AL147)</f>
        <v>0</v>
      </c>
      <c r="Q147" s="76">
        <f t="shared" ref="Q147:AB150" si="284">SUM(V147:AC147)</f>
        <v>0</v>
      </c>
      <c r="R147" s="76">
        <f t="shared" si="284"/>
        <v>0</v>
      </c>
      <c r="S147" s="76">
        <f t="shared" si="284"/>
        <v>0</v>
      </c>
      <c r="T147" s="76">
        <f t="shared" si="284"/>
        <v>0</v>
      </c>
      <c r="U147" s="76">
        <f t="shared" si="284"/>
        <v>0</v>
      </c>
      <c r="V147" s="76">
        <f t="shared" si="284"/>
        <v>0</v>
      </c>
      <c r="W147" s="76">
        <f t="shared" si="284"/>
        <v>0</v>
      </c>
      <c r="X147" s="76">
        <f t="shared" si="284"/>
        <v>0</v>
      </c>
      <c r="Y147" s="76">
        <f t="shared" si="284"/>
        <v>0</v>
      </c>
      <c r="Z147" s="76">
        <f t="shared" si="284"/>
        <v>0</v>
      </c>
      <c r="AA147" s="76">
        <f t="shared" si="284"/>
        <v>0</v>
      </c>
      <c r="AB147" s="76">
        <f t="shared" si="284"/>
        <v>0</v>
      </c>
      <c r="AC147" s="91"/>
      <c r="AD147" s="76">
        <f>SUM(AI147:AP147)</f>
        <v>0</v>
      </c>
      <c r="AE147" s="76"/>
      <c r="AF147" s="76"/>
      <c r="AG147" s="76"/>
      <c r="AH147" s="76"/>
      <c r="AI147" s="76"/>
      <c r="AJ147" s="76"/>
      <c r="AK147" s="76">
        <f t="shared" ref="AK147:AP150" si="285">SUM(AM147:AX147)</f>
        <v>0</v>
      </c>
      <c r="AL147" s="76">
        <f t="shared" si="285"/>
        <v>0</v>
      </c>
      <c r="AM147" s="76">
        <f t="shared" si="285"/>
        <v>0</v>
      </c>
      <c r="AN147" s="76">
        <f t="shared" si="285"/>
        <v>0</v>
      </c>
      <c r="AO147" s="76">
        <f t="shared" si="285"/>
        <v>0</v>
      </c>
      <c r="AP147" s="76">
        <f t="shared" si="285"/>
        <v>0</v>
      </c>
      <c r="AQ147" s="91"/>
      <c r="AR147" s="76"/>
      <c r="AS147" s="76">
        <f t="shared" ref="AS147:BD150" si="286">SUM(AU147:BF147)</f>
        <v>0</v>
      </c>
      <c r="AT147" s="76">
        <f t="shared" si="286"/>
        <v>0</v>
      </c>
      <c r="AU147" s="76">
        <f t="shared" si="286"/>
        <v>0</v>
      </c>
      <c r="AV147" s="76">
        <f t="shared" si="286"/>
        <v>0</v>
      </c>
      <c r="AW147" s="76">
        <f t="shared" si="286"/>
        <v>0</v>
      </c>
      <c r="AX147" s="76">
        <f t="shared" si="286"/>
        <v>0</v>
      </c>
      <c r="AY147" s="76">
        <f t="shared" si="286"/>
        <v>0</v>
      </c>
      <c r="AZ147" s="76">
        <f t="shared" si="286"/>
        <v>0</v>
      </c>
      <c r="BA147" s="76">
        <f t="shared" si="286"/>
        <v>0</v>
      </c>
      <c r="BB147" s="76">
        <f t="shared" si="286"/>
        <v>0</v>
      </c>
      <c r="BC147" s="76">
        <f t="shared" si="286"/>
        <v>0</v>
      </c>
      <c r="BD147" s="76">
        <f t="shared" si="286"/>
        <v>0</v>
      </c>
      <c r="BE147" s="94"/>
      <c r="BF147" s="76">
        <f t="shared" si="274"/>
        <v>0</v>
      </c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>
        <v>0</v>
      </c>
      <c r="BR147" s="72">
        <v>0</v>
      </c>
      <c r="BT147" s="72">
        <f t="shared" si="275"/>
        <v>0</v>
      </c>
      <c r="BU147" s="76"/>
      <c r="BV147" s="76"/>
      <c r="BW147" s="76"/>
      <c r="BX147" s="76"/>
      <c r="BY147" s="76">
        <v>0</v>
      </c>
      <c r="BZ147" s="72">
        <v>0</v>
      </c>
      <c r="CA147" s="94"/>
      <c r="CB147" s="76"/>
    </row>
    <row r="148" spans="1:80" ht="13.5" hidden="1" thickTop="1" thickBot="1">
      <c r="A148" s="88" t="s">
        <v>327</v>
      </c>
      <c r="B148" s="76">
        <f>SUM(AC148:AJ148)</f>
        <v>0</v>
      </c>
      <c r="C148" s="76">
        <f t="shared" si="283"/>
        <v>0</v>
      </c>
      <c r="D148" s="76">
        <f t="shared" si="283"/>
        <v>0</v>
      </c>
      <c r="E148" s="76">
        <f t="shared" si="283"/>
        <v>0</v>
      </c>
      <c r="F148" s="76">
        <f t="shared" si="283"/>
        <v>0</v>
      </c>
      <c r="G148" s="76">
        <f t="shared" si="283"/>
        <v>0</v>
      </c>
      <c r="H148" s="76">
        <f t="shared" si="283"/>
        <v>0</v>
      </c>
      <c r="I148" s="76">
        <f t="shared" si="283"/>
        <v>0</v>
      </c>
      <c r="J148" s="76">
        <f t="shared" si="283"/>
        <v>0</v>
      </c>
      <c r="K148" s="76">
        <f t="shared" si="283"/>
        <v>0</v>
      </c>
      <c r="L148" s="76">
        <f t="shared" si="283"/>
        <v>0</v>
      </c>
      <c r="M148" s="76">
        <f t="shared" si="283"/>
        <v>0</v>
      </c>
      <c r="N148" s="76">
        <f t="shared" si="283"/>
        <v>0</v>
      </c>
      <c r="O148" s="91"/>
      <c r="P148" s="76">
        <f>SUM(AE148:AL148)</f>
        <v>0</v>
      </c>
      <c r="Q148" s="76">
        <f t="shared" si="284"/>
        <v>0</v>
      </c>
      <c r="R148" s="76">
        <f t="shared" si="284"/>
        <v>0</v>
      </c>
      <c r="S148" s="76">
        <f t="shared" si="284"/>
        <v>0</v>
      </c>
      <c r="T148" s="76">
        <f t="shared" si="284"/>
        <v>0</v>
      </c>
      <c r="U148" s="76">
        <f t="shared" si="284"/>
        <v>0</v>
      </c>
      <c r="V148" s="76">
        <f t="shared" si="284"/>
        <v>0</v>
      </c>
      <c r="W148" s="76">
        <f t="shared" si="284"/>
        <v>0</v>
      </c>
      <c r="X148" s="76">
        <f t="shared" si="284"/>
        <v>0</v>
      </c>
      <c r="Y148" s="76">
        <f t="shared" si="284"/>
        <v>0</v>
      </c>
      <c r="Z148" s="76">
        <f t="shared" si="284"/>
        <v>0</v>
      </c>
      <c r="AA148" s="76">
        <f t="shared" si="284"/>
        <v>0</v>
      </c>
      <c r="AB148" s="76">
        <f t="shared" si="284"/>
        <v>0</v>
      </c>
      <c r="AC148" s="91"/>
      <c r="AD148" s="76">
        <f>SUM(AI148:AP148)</f>
        <v>0</v>
      </c>
      <c r="AE148" s="76"/>
      <c r="AF148" s="76"/>
      <c r="AG148" s="76"/>
      <c r="AH148" s="76"/>
      <c r="AI148" s="76"/>
      <c r="AJ148" s="76"/>
      <c r="AK148" s="76">
        <f t="shared" si="285"/>
        <v>0</v>
      </c>
      <c r="AL148" s="76">
        <f t="shared" si="285"/>
        <v>0</v>
      </c>
      <c r="AM148" s="76">
        <f t="shared" si="285"/>
        <v>0</v>
      </c>
      <c r="AN148" s="76">
        <f t="shared" si="285"/>
        <v>0</v>
      </c>
      <c r="AO148" s="76">
        <f t="shared" si="285"/>
        <v>0</v>
      </c>
      <c r="AP148" s="76">
        <f t="shared" si="285"/>
        <v>0</v>
      </c>
      <c r="AQ148" s="91"/>
      <c r="AR148" s="76"/>
      <c r="AS148" s="76">
        <f t="shared" si="286"/>
        <v>0</v>
      </c>
      <c r="AT148" s="76">
        <f t="shared" si="286"/>
        <v>0</v>
      </c>
      <c r="AU148" s="76">
        <f t="shared" si="286"/>
        <v>0</v>
      </c>
      <c r="AV148" s="76">
        <f t="shared" si="286"/>
        <v>0</v>
      </c>
      <c r="AW148" s="76">
        <f t="shared" si="286"/>
        <v>0</v>
      </c>
      <c r="AX148" s="76">
        <f t="shared" si="286"/>
        <v>0</v>
      </c>
      <c r="AY148" s="76">
        <f t="shared" si="286"/>
        <v>0</v>
      </c>
      <c r="AZ148" s="76">
        <f t="shared" si="286"/>
        <v>0</v>
      </c>
      <c r="BA148" s="76">
        <f t="shared" si="286"/>
        <v>0</v>
      </c>
      <c r="BB148" s="76">
        <f t="shared" si="286"/>
        <v>0</v>
      </c>
      <c r="BC148" s="76">
        <f t="shared" si="286"/>
        <v>0</v>
      </c>
      <c r="BD148" s="76">
        <f t="shared" si="286"/>
        <v>0</v>
      </c>
      <c r="BE148" s="94"/>
      <c r="BF148" s="76">
        <f t="shared" si="274"/>
        <v>0</v>
      </c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>
        <v>0</v>
      </c>
      <c r="BR148" s="72">
        <v>0</v>
      </c>
      <c r="BT148" s="72">
        <f t="shared" si="275"/>
        <v>0</v>
      </c>
      <c r="BU148" s="76"/>
      <c r="BV148" s="76"/>
      <c r="BW148" s="76"/>
      <c r="BX148" s="76"/>
      <c r="BY148" s="76">
        <v>0</v>
      </c>
      <c r="BZ148" s="72">
        <v>0</v>
      </c>
      <c r="CB148" s="72"/>
    </row>
    <row r="149" spans="1:80" ht="13.5" hidden="1" thickTop="1" thickBot="1">
      <c r="A149" s="88" t="s">
        <v>328</v>
      </c>
      <c r="B149" s="76">
        <f>SUM(AC149:AJ149)</f>
        <v>0</v>
      </c>
      <c r="C149" s="76">
        <f t="shared" si="283"/>
        <v>0</v>
      </c>
      <c r="D149" s="76">
        <f t="shared" si="283"/>
        <v>0</v>
      </c>
      <c r="E149" s="76">
        <f t="shared" si="283"/>
        <v>0</v>
      </c>
      <c r="F149" s="76">
        <f t="shared" si="283"/>
        <v>0</v>
      </c>
      <c r="G149" s="76">
        <f t="shared" si="283"/>
        <v>0</v>
      </c>
      <c r="H149" s="76">
        <f t="shared" si="283"/>
        <v>0</v>
      </c>
      <c r="I149" s="76">
        <f t="shared" si="283"/>
        <v>0</v>
      </c>
      <c r="J149" s="76">
        <f t="shared" si="283"/>
        <v>0</v>
      </c>
      <c r="K149" s="76">
        <f t="shared" si="283"/>
        <v>0</v>
      </c>
      <c r="L149" s="76">
        <f t="shared" si="283"/>
        <v>0</v>
      </c>
      <c r="M149" s="76">
        <f t="shared" si="283"/>
        <v>0</v>
      </c>
      <c r="N149" s="76">
        <f t="shared" si="283"/>
        <v>0</v>
      </c>
      <c r="O149" s="91"/>
      <c r="P149" s="76">
        <f>SUM(AE149:AL149)</f>
        <v>0</v>
      </c>
      <c r="Q149" s="76">
        <f t="shared" si="284"/>
        <v>0</v>
      </c>
      <c r="R149" s="76">
        <f t="shared" si="284"/>
        <v>0</v>
      </c>
      <c r="S149" s="76">
        <f t="shared" si="284"/>
        <v>0</v>
      </c>
      <c r="T149" s="76">
        <f t="shared" si="284"/>
        <v>0</v>
      </c>
      <c r="U149" s="76">
        <f t="shared" si="284"/>
        <v>0</v>
      </c>
      <c r="V149" s="76">
        <f t="shared" si="284"/>
        <v>0</v>
      </c>
      <c r="W149" s="76">
        <f t="shared" si="284"/>
        <v>0</v>
      </c>
      <c r="X149" s="76">
        <f t="shared" si="284"/>
        <v>0</v>
      </c>
      <c r="Y149" s="76">
        <f t="shared" si="284"/>
        <v>0</v>
      </c>
      <c r="Z149" s="76">
        <f t="shared" si="284"/>
        <v>0</v>
      </c>
      <c r="AA149" s="76">
        <f t="shared" si="284"/>
        <v>0</v>
      </c>
      <c r="AB149" s="76">
        <f t="shared" si="284"/>
        <v>0</v>
      </c>
      <c r="AC149" s="91"/>
      <c r="AD149" s="76">
        <f>SUM(AI149:AP149)</f>
        <v>0</v>
      </c>
      <c r="AE149" s="76"/>
      <c r="AF149" s="76"/>
      <c r="AG149" s="76"/>
      <c r="AH149" s="76"/>
      <c r="AI149" s="76"/>
      <c r="AJ149" s="76"/>
      <c r="AK149" s="76">
        <f t="shared" si="285"/>
        <v>0</v>
      </c>
      <c r="AL149" s="76">
        <f t="shared" si="285"/>
        <v>0</v>
      </c>
      <c r="AM149" s="76">
        <f t="shared" si="285"/>
        <v>0</v>
      </c>
      <c r="AN149" s="76">
        <f t="shared" si="285"/>
        <v>0</v>
      </c>
      <c r="AO149" s="76">
        <f t="shared" si="285"/>
        <v>0</v>
      </c>
      <c r="AP149" s="76">
        <f t="shared" si="285"/>
        <v>0</v>
      </c>
      <c r="AQ149" s="91"/>
      <c r="AR149" s="76"/>
      <c r="AS149" s="76">
        <f t="shared" si="286"/>
        <v>0</v>
      </c>
      <c r="AT149" s="76">
        <f t="shared" si="286"/>
        <v>0</v>
      </c>
      <c r="AU149" s="76">
        <f t="shared" si="286"/>
        <v>0</v>
      </c>
      <c r="AV149" s="76">
        <f t="shared" si="286"/>
        <v>0</v>
      </c>
      <c r="AW149" s="76">
        <f t="shared" si="286"/>
        <v>0</v>
      </c>
      <c r="AX149" s="76">
        <f t="shared" si="286"/>
        <v>0</v>
      </c>
      <c r="AY149" s="76">
        <f t="shared" si="286"/>
        <v>0</v>
      </c>
      <c r="AZ149" s="76">
        <f t="shared" si="286"/>
        <v>0</v>
      </c>
      <c r="BA149" s="76">
        <f t="shared" si="286"/>
        <v>0</v>
      </c>
      <c r="BB149" s="76">
        <f t="shared" si="286"/>
        <v>0</v>
      </c>
      <c r="BC149" s="76">
        <f t="shared" si="286"/>
        <v>0</v>
      </c>
      <c r="BD149" s="76">
        <f t="shared" si="286"/>
        <v>0</v>
      </c>
      <c r="BE149" s="94"/>
      <c r="BF149" s="76">
        <f t="shared" si="274"/>
        <v>0</v>
      </c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2"/>
      <c r="BT149" s="72">
        <f t="shared" si="275"/>
        <v>0</v>
      </c>
      <c r="BU149" s="76"/>
      <c r="BV149" s="76"/>
      <c r="BW149" s="76"/>
      <c r="BX149" s="76"/>
      <c r="BY149" s="76"/>
      <c r="BZ149" s="72"/>
      <c r="CB149" s="72"/>
    </row>
    <row r="150" spans="1:80" ht="13.5" hidden="1" thickTop="1" thickBot="1">
      <c r="A150" s="88" t="s">
        <v>327</v>
      </c>
      <c r="B150" s="76">
        <f>SUM(AC150:AJ150)</f>
        <v>0</v>
      </c>
      <c r="C150" s="76">
        <f t="shared" si="283"/>
        <v>0</v>
      </c>
      <c r="D150" s="76">
        <f t="shared" si="283"/>
        <v>0</v>
      </c>
      <c r="E150" s="76">
        <f t="shared" si="283"/>
        <v>0</v>
      </c>
      <c r="F150" s="76">
        <f t="shared" si="283"/>
        <v>0</v>
      </c>
      <c r="G150" s="76">
        <f t="shared" si="283"/>
        <v>0</v>
      </c>
      <c r="H150" s="76">
        <f t="shared" si="283"/>
        <v>0</v>
      </c>
      <c r="I150" s="76">
        <f t="shared" si="283"/>
        <v>0</v>
      </c>
      <c r="J150" s="76">
        <f t="shared" si="283"/>
        <v>0</v>
      </c>
      <c r="K150" s="76">
        <f t="shared" si="283"/>
        <v>0</v>
      </c>
      <c r="L150" s="76">
        <f t="shared" si="283"/>
        <v>0</v>
      </c>
      <c r="M150" s="76">
        <f t="shared" si="283"/>
        <v>0</v>
      </c>
      <c r="N150" s="76">
        <f t="shared" si="283"/>
        <v>0</v>
      </c>
      <c r="O150" s="91"/>
      <c r="P150" s="76">
        <f>SUM(AE150:AL150)</f>
        <v>0</v>
      </c>
      <c r="Q150" s="76">
        <f t="shared" si="284"/>
        <v>0</v>
      </c>
      <c r="R150" s="76">
        <f t="shared" si="284"/>
        <v>0</v>
      </c>
      <c r="S150" s="76">
        <f t="shared" si="284"/>
        <v>0</v>
      </c>
      <c r="T150" s="76">
        <f t="shared" si="284"/>
        <v>0</v>
      </c>
      <c r="U150" s="76">
        <f t="shared" si="284"/>
        <v>0</v>
      </c>
      <c r="V150" s="76">
        <f t="shared" si="284"/>
        <v>0</v>
      </c>
      <c r="W150" s="76">
        <f t="shared" si="284"/>
        <v>0</v>
      </c>
      <c r="X150" s="76">
        <f t="shared" si="284"/>
        <v>0</v>
      </c>
      <c r="Y150" s="76">
        <f t="shared" si="284"/>
        <v>0</v>
      </c>
      <c r="Z150" s="76">
        <f t="shared" si="284"/>
        <v>0</v>
      </c>
      <c r="AA150" s="76">
        <f t="shared" si="284"/>
        <v>0</v>
      </c>
      <c r="AB150" s="76">
        <f t="shared" si="284"/>
        <v>0</v>
      </c>
      <c r="AC150" s="91"/>
      <c r="AD150" s="76">
        <f>SUM(AI150:AP150)</f>
        <v>0</v>
      </c>
      <c r="AE150" s="76"/>
      <c r="AF150" s="76"/>
      <c r="AG150" s="76"/>
      <c r="AH150" s="76"/>
      <c r="AI150" s="76"/>
      <c r="AJ150" s="76"/>
      <c r="AK150" s="76">
        <f t="shared" si="285"/>
        <v>0</v>
      </c>
      <c r="AL150" s="76">
        <f t="shared" si="285"/>
        <v>0</v>
      </c>
      <c r="AM150" s="76">
        <f t="shared" si="285"/>
        <v>0</v>
      </c>
      <c r="AN150" s="76">
        <f t="shared" si="285"/>
        <v>0</v>
      </c>
      <c r="AO150" s="76">
        <f t="shared" si="285"/>
        <v>0</v>
      </c>
      <c r="AP150" s="76">
        <f t="shared" si="285"/>
        <v>0</v>
      </c>
      <c r="AQ150" s="91"/>
      <c r="AR150" s="76"/>
      <c r="AS150" s="76">
        <f t="shared" si="286"/>
        <v>0</v>
      </c>
      <c r="AT150" s="76">
        <f t="shared" si="286"/>
        <v>0</v>
      </c>
      <c r="AU150" s="76">
        <f t="shared" si="286"/>
        <v>0</v>
      </c>
      <c r="AV150" s="76">
        <f t="shared" si="286"/>
        <v>0</v>
      </c>
      <c r="AW150" s="76">
        <f t="shared" si="286"/>
        <v>0</v>
      </c>
      <c r="AX150" s="76">
        <f t="shared" si="286"/>
        <v>0</v>
      </c>
      <c r="AY150" s="76">
        <f t="shared" si="286"/>
        <v>0</v>
      </c>
      <c r="AZ150" s="76">
        <f t="shared" si="286"/>
        <v>0</v>
      </c>
      <c r="BA150" s="76">
        <f t="shared" si="286"/>
        <v>0</v>
      </c>
      <c r="BB150" s="76">
        <f t="shared" si="286"/>
        <v>0</v>
      </c>
      <c r="BC150" s="76">
        <f t="shared" si="286"/>
        <v>0</v>
      </c>
      <c r="BD150" s="76">
        <f t="shared" si="286"/>
        <v>0</v>
      </c>
      <c r="BE150" s="94"/>
      <c r="BF150" s="76">
        <f t="shared" si="274"/>
        <v>0</v>
      </c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2"/>
      <c r="BT150" s="72">
        <f t="shared" si="275"/>
        <v>0</v>
      </c>
      <c r="BU150" s="76"/>
      <c r="BV150" s="76"/>
      <c r="BW150" s="76"/>
      <c r="BX150" s="76"/>
      <c r="BY150" s="76"/>
      <c r="BZ150" s="72"/>
      <c r="CB150" s="72"/>
    </row>
    <row r="151" spans="1:80" ht="13.5" thickTop="1" thickBot="1"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R151" s="332"/>
      <c r="AS151" s="125"/>
      <c r="AT151" s="125"/>
      <c r="AU151" s="125"/>
      <c r="AV151" s="125"/>
      <c r="AW151" s="125"/>
      <c r="AX151" s="125"/>
      <c r="AY151" s="125"/>
      <c r="AZ151" s="125"/>
      <c r="BA151" s="125"/>
      <c r="BB151" s="125"/>
      <c r="BC151" s="125"/>
      <c r="BD151" s="125"/>
      <c r="BF151" s="125"/>
      <c r="BG151" s="125"/>
      <c r="BH151" s="125"/>
      <c r="BI151" s="125"/>
      <c r="BJ151" s="125"/>
      <c r="BK151" s="125"/>
      <c r="BL151" s="125"/>
      <c r="BM151" s="125"/>
      <c r="BN151" s="125"/>
      <c r="BO151" s="125"/>
      <c r="BP151" s="125"/>
      <c r="BQ151" s="125"/>
      <c r="BR151" s="125"/>
      <c r="BT151" s="125"/>
      <c r="BU151" s="125"/>
      <c r="BV151" s="125"/>
      <c r="BW151" s="125"/>
      <c r="BX151" s="125"/>
      <c r="BY151" s="125"/>
      <c r="BZ151" s="125"/>
      <c r="CB151" s="125"/>
    </row>
    <row r="152" spans="1:80" ht="13.5" thickTop="1" thickBot="1">
      <c r="A152" s="329" t="s">
        <v>329</v>
      </c>
      <c r="B152" s="326">
        <f t="shared" ref="B152:N152" si="287">+B134+B129+B121+B114+B107+B91+B83+B78+B48+B74+B86</f>
        <v>53070866</v>
      </c>
      <c r="C152" s="326">
        <f t="shared" ref="C152:D152" si="288">+C134+C129+C121+C114+C107+C91+C83+C78+C48+C74+C86</f>
        <v>0</v>
      </c>
      <c r="D152" s="326">
        <f t="shared" si="288"/>
        <v>0</v>
      </c>
      <c r="E152" s="326">
        <f t="shared" si="287"/>
        <v>0</v>
      </c>
      <c r="F152" s="326">
        <f t="shared" ref="F152:G152" si="289">+F134+F129+F121+F114+F107+F91+F83+F78+F48+F74+F86</f>
        <v>0</v>
      </c>
      <c r="G152" s="326">
        <f t="shared" si="289"/>
        <v>0</v>
      </c>
      <c r="H152" s="326">
        <f t="shared" si="287"/>
        <v>0</v>
      </c>
      <c r="I152" s="326">
        <f t="shared" ref="I152:J152" si="290">+I134+I129+I121+I114+I107+I91+I83+I78+I48+I74+I86</f>
        <v>0</v>
      </c>
      <c r="J152" s="326">
        <f t="shared" si="290"/>
        <v>0</v>
      </c>
      <c r="K152" s="326">
        <f t="shared" si="287"/>
        <v>0</v>
      </c>
      <c r="L152" s="326">
        <f t="shared" ref="L152:M152" si="291">+L134+L129+L121+L114+L107+L91+L83+L78+L48+L74+L86</f>
        <v>0</v>
      </c>
      <c r="M152" s="326">
        <f t="shared" si="291"/>
        <v>0</v>
      </c>
      <c r="N152" s="326">
        <f t="shared" si="287"/>
        <v>52324866</v>
      </c>
      <c r="O152" s="79"/>
      <c r="P152" s="326">
        <f t="shared" ref="P152:AB152" si="292">+P134+P129+P121+P114+P107+P91+P83+P78+P48+P74+P86</f>
        <v>307545073</v>
      </c>
      <c r="Q152" s="326">
        <f t="shared" ref="Q152" si="293">+Q134+Q129+Q121+Q114+Q107+Q91+Q83+Q78+Q48+Q74+Q86</f>
        <v>31453969</v>
      </c>
      <c r="R152" s="326">
        <f t="shared" si="292"/>
        <v>30123840</v>
      </c>
      <c r="S152" s="326">
        <f t="shared" ref="S152:T152" si="294">+S134+S129+S121+S114+S107+S91+S83+S78+S48+S74+S86</f>
        <v>28240530</v>
      </c>
      <c r="T152" s="326">
        <f t="shared" si="294"/>
        <v>26333745</v>
      </c>
      <c r="U152" s="326">
        <f t="shared" si="292"/>
        <v>26427628</v>
      </c>
      <c r="V152" s="326">
        <f t="shared" ref="V152:W152" si="295">+V134+V129+V121+V114+V107+V91+V83+V78+V48+V74+V86</f>
        <v>27604064</v>
      </c>
      <c r="W152" s="326">
        <f t="shared" si="295"/>
        <v>27002069</v>
      </c>
      <c r="X152" s="326">
        <f t="shared" si="292"/>
        <v>27732861</v>
      </c>
      <c r="Y152" s="326">
        <f t="shared" si="292"/>
        <v>27772973</v>
      </c>
      <c r="Z152" s="326">
        <f t="shared" si="292"/>
        <v>25842368</v>
      </c>
      <c r="AA152" s="326">
        <f t="shared" si="292"/>
        <v>21514655</v>
      </c>
      <c r="AB152" s="326">
        <f t="shared" si="292"/>
        <v>7496371</v>
      </c>
      <c r="AC152" s="79"/>
      <c r="AD152" s="326">
        <f>+AD134+AD129+AD121+AD114+AD107+AD91+AD83+AD78+AD48+AD74</f>
        <v>79716728.819999993</v>
      </c>
      <c r="AE152" s="326">
        <f t="shared" ref="AE152:AP152" si="296">+AE134+AE129+AE121+AE114+AE107+AE91+AE83+AE78+AE48+AE74</f>
        <v>4303506</v>
      </c>
      <c r="AF152" s="326">
        <f t="shared" si="296"/>
        <v>4349284</v>
      </c>
      <c r="AG152" s="326">
        <f t="shared" si="296"/>
        <v>4568899</v>
      </c>
      <c r="AH152" s="326">
        <f t="shared" si="296"/>
        <v>6292759</v>
      </c>
      <c r="AI152" s="326">
        <f t="shared" si="296"/>
        <v>6292759</v>
      </c>
      <c r="AJ152" s="326">
        <f t="shared" si="296"/>
        <v>6386179.1600000001</v>
      </c>
      <c r="AK152" s="326">
        <f t="shared" si="296"/>
        <v>6544793</v>
      </c>
      <c r="AL152" s="326">
        <f t="shared" si="296"/>
        <v>8358309.6600000001</v>
      </c>
      <c r="AM152" s="326">
        <f t="shared" si="296"/>
        <v>8796012</v>
      </c>
      <c r="AN152" s="326">
        <f t="shared" si="296"/>
        <v>9089012</v>
      </c>
      <c r="AO152" s="326">
        <f t="shared" si="296"/>
        <v>8414140</v>
      </c>
      <c r="AP152" s="326">
        <f t="shared" si="296"/>
        <v>6321076</v>
      </c>
      <c r="AQ152" s="79"/>
      <c r="AR152" s="326">
        <f>+AR134+AR129+AR121+AR114+AR107+AR91+AR83+AR78+AR48+AR74+AR86</f>
        <v>90396886.310000002</v>
      </c>
      <c r="AS152" s="326">
        <f t="shared" ref="AS152:BD152" si="297">+AS134+AS129+AS121+AS114+AS107+AS91+AS83+AS78+AS48+AS74+AS86</f>
        <v>8962817</v>
      </c>
      <c r="AT152" s="326">
        <f t="shared" si="297"/>
        <v>6730050.0800000001</v>
      </c>
      <c r="AU152" s="326">
        <f t="shared" si="297"/>
        <v>6549541</v>
      </c>
      <c r="AV152" s="326">
        <f t="shared" si="297"/>
        <v>5670950</v>
      </c>
      <c r="AW152" s="326">
        <f t="shared" si="297"/>
        <v>6701895.1400000006</v>
      </c>
      <c r="AX152" s="326">
        <f t="shared" si="297"/>
        <v>6825244</v>
      </c>
      <c r="AY152" s="326">
        <f t="shared" si="297"/>
        <v>7165691</v>
      </c>
      <c r="AZ152" s="326">
        <f t="shared" si="297"/>
        <v>6568550</v>
      </c>
      <c r="BA152" s="326">
        <f t="shared" si="297"/>
        <v>6443562</v>
      </c>
      <c r="BB152" s="326">
        <f t="shared" si="297"/>
        <v>12874733.09</v>
      </c>
      <c r="BC152" s="326">
        <f t="shared" si="297"/>
        <v>6587149</v>
      </c>
      <c r="BD152" s="326">
        <f t="shared" si="297"/>
        <v>9316704</v>
      </c>
      <c r="BE152" s="97"/>
      <c r="BF152" s="326">
        <f>+BF134+BF129+BF121+BF114+BF107+BF91+BF83+BF78+BF48+BF74</f>
        <v>47493788.506479949</v>
      </c>
      <c r="BG152" s="326">
        <f t="shared" ref="BG152:BR152" si="298">+BG134+BG129+BG121+BG114+BG107+BG91+BG83+BG78+BG48+BG74</f>
        <v>2092608.416176667</v>
      </c>
      <c r="BH152" s="326">
        <f t="shared" si="298"/>
        <v>7324177.4512000009</v>
      </c>
      <c r="BI152" s="326">
        <f t="shared" si="298"/>
        <v>9161628.4512000009</v>
      </c>
      <c r="BJ152" s="326">
        <f t="shared" si="298"/>
        <v>8824793.7217800003</v>
      </c>
      <c r="BK152" s="326">
        <f t="shared" si="298"/>
        <v>5434083.6812199997</v>
      </c>
      <c r="BL152" s="326">
        <f t="shared" si="298"/>
        <v>861300.54799999995</v>
      </c>
      <c r="BM152" s="326">
        <f t="shared" si="298"/>
        <v>166055</v>
      </c>
      <c r="BN152" s="326">
        <f t="shared" si="298"/>
        <v>233225</v>
      </c>
      <c r="BO152" s="326">
        <f t="shared" si="298"/>
        <v>166055</v>
      </c>
      <c r="BP152" s="326">
        <f t="shared" si="298"/>
        <v>240189</v>
      </c>
      <c r="BQ152" s="326">
        <f t="shared" si="298"/>
        <v>515376</v>
      </c>
      <c r="BR152" s="326">
        <f t="shared" si="298"/>
        <v>3228028.44</v>
      </c>
      <c r="BS152" s="97"/>
      <c r="BT152" s="326">
        <f>+BT134+BT129+BT121+BT114+BT107+BT91+BT83+BT78+BT48+BT74</f>
        <v>17377485</v>
      </c>
      <c r="BU152" s="326" t="e">
        <f>+BU134+BU121+BU107+BU91+BU86+BU78+BU74+BU72+BU48+#REF!+BU114</f>
        <v>#REF!</v>
      </c>
      <c r="BV152" s="326" t="e">
        <f>+BV134+BV121+BV107+BV91+BV86+BV78+BV74+BV72+BV48+#REF!+BV114</f>
        <v>#REF!</v>
      </c>
      <c r="BW152" s="326" t="e">
        <f>+BW134+BW121+BW107+BW91+BW86+BW78+BW74+BW72+BW48+#REF!+BW114</f>
        <v>#REF!</v>
      </c>
      <c r="BX152" s="326" t="e">
        <f>+BX134+BX121+BX107+BX91+BX86+BX78+BX74+BX72+BX48+#REF!+BX114</f>
        <v>#REF!</v>
      </c>
      <c r="BY152" s="326" t="e">
        <f>+BY134+BY121+BY107+BY91+BY86+BY78+BY74+BY72+BY48+#REF!+BY114</f>
        <v>#REF!</v>
      </c>
      <c r="BZ152" s="326" t="e">
        <f>+BZ134+BZ121+BZ107+BZ91+BZ86+BZ78+BZ74+BZ72+BZ48+#REF!+BZ114</f>
        <v>#REF!</v>
      </c>
      <c r="CA152" s="105"/>
      <c r="CB152" s="326" t="e">
        <f>+CB134+CB121+CB107+CB91+CB86+CB78+CB74+CB72+CB48+#REF!+CB114</f>
        <v>#REF!</v>
      </c>
    </row>
    <row r="153" spans="1:80" ht="13.5" customHeight="1" thickTop="1">
      <c r="A153" s="88"/>
      <c r="O153" s="88"/>
      <c r="AC153" s="88"/>
      <c r="AQ153" s="88"/>
      <c r="AR153" s="65"/>
    </row>
    <row r="154" spans="1:80">
      <c r="A154" s="79" t="s">
        <v>330</v>
      </c>
      <c r="O154" s="79"/>
      <c r="AC154" s="79"/>
      <c r="AQ154" s="79"/>
      <c r="AR154" s="65"/>
    </row>
    <row r="155" spans="1:80" ht="9.6" customHeight="1" thickBot="1">
      <c r="A155" s="79"/>
      <c r="O155" s="79"/>
      <c r="AC155" s="79"/>
      <c r="AQ155" s="79"/>
      <c r="AR155" s="65"/>
    </row>
    <row r="156" spans="1:80" ht="13.5" thickTop="1" thickBot="1">
      <c r="A156" s="90" t="s">
        <v>446</v>
      </c>
      <c r="B156" s="78">
        <f t="shared" ref="B156:N156" si="299">SUM(B157:B163)</f>
        <v>444898</v>
      </c>
      <c r="C156" s="78">
        <f t="shared" ref="C156:D156" si="300">SUM(C157:C163)</f>
        <v>0</v>
      </c>
      <c r="D156" s="78">
        <f t="shared" si="300"/>
        <v>0</v>
      </c>
      <c r="E156" s="78">
        <f t="shared" si="299"/>
        <v>0</v>
      </c>
      <c r="F156" s="78">
        <f t="shared" ref="F156:G156" si="301">SUM(F157:F163)</f>
        <v>0</v>
      </c>
      <c r="G156" s="78">
        <f t="shared" si="301"/>
        <v>0</v>
      </c>
      <c r="H156" s="78">
        <f t="shared" si="299"/>
        <v>0</v>
      </c>
      <c r="I156" s="78">
        <f t="shared" ref="I156:J156" si="302">SUM(I157:I163)</f>
        <v>0</v>
      </c>
      <c r="J156" s="78">
        <f t="shared" si="302"/>
        <v>0</v>
      </c>
      <c r="K156" s="78">
        <f t="shared" si="299"/>
        <v>0</v>
      </c>
      <c r="L156" s="78">
        <f t="shared" ref="L156:M156" si="303">SUM(L157:L163)</f>
        <v>0</v>
      </c>
      <c r="M156" s="78">
        <f t="shared" si="303"/>
        <v>0</v>
      </c>
      <c r="N156" s="78">
        <f t="shared" si="299"/>
        <v>444898</v>
      </c>
      <c r="O156" s="334"/>
      <c r="P156" s="78">
        <f t="shared" ref="P156:V156" si="304">SUM(P157:P163)</f>
        <v>13660656.84</v>
      </c>
      <c r="Q156" s="78">
        <f t="shared" ref="Q156" si="305">SUM(Q157:Q163)</f>
        <v>546725</v>
      </c>
      <c r="R156" s="78">
        <f t="shared" ref="R156:S156" si="306">SUM(R157:R163)</f>
        <v>314748</v>
      </c>
      <c r="S156" s="78">
        <f t="shared" si="306"/>
        <v>557832</v>
      </c>
      <c r="T156" s="78">
        <f t="shared" ref="T156:U156" si="307">SUM(T157:T163)</f>
        <v>392107</v>
      </c>
      <c r="U156" s="78">
        <f t="shared" si="307"/>
        <v>340805.32999999996</v>
      </c>
      <c r="V156" s="78">
        <f t="shared" si="304"/>
        <v>369904</v>
      </c>
      <c r="W156" s="78">
        <f t="shared" ref="W156:X156" si="308">SUM(W157:W163)</f>
        <v>432887</v>
      </c>
      <c r="X156" s="78">
        <f t="shared" si="308"/>
        <v>396592</v>
      </c>
      <c r="Y156" s="78">
        <f t="shared" ref="Y156:Z156" si="309">SUM(Y157:Y163)</f>
        <v>350945</v>
      </c>
      <c r="Z156" s="78">
        <f t="shared" si="309"/>
        <v>402359.51</v>
      </c>
      <c r="AA156" s="78">
        <f t="shared" ref="AA156:AB156" si="310">SUM(AA157:AA163)</f>
        <v>9364720</v>
      </c>
      <c r="AB156" s="78">
        <f t="shared" si="310"/>
        <v>191032</v>
      </c>
      <c r="AC156" s="334"/>
      <c r="AD156" s="78">
        <f t="shared" ref="AD156:AN156" si="311">SUM(AD157:AD163)</f>
        <v>3254129</v>
      </c>
      <c r="AE156" s="78">
        <f t="shared" si="311"/>
        <v>197086</v>
      </c>
      <c r="AF156" s="78">
        <f t="shared" si="311"/>
        <v>215731</v>
      </c>
      <c r="AG156" s="78">
        <f t="shared" si="311"/>
        <v>237239</v>
      </c>
      <c r="AH156" s="78">
        <f t="shared" si="311"/>
        <v>181455</v>
      </c>
      <c r="AI156" s="78">
        <f t="shared" si="311"/>
        <v>203991</v>
      </c>
      <c r="AJ156" s="78">
        <f t="shared" si="311"/>
        <v>185273</v>
      </c>
      <c r="AK156" s="78">
        <f t="shared" si="311"/>
        <v>1107971</v>
      </c>
      <c r="AL156" s="78">
        <f t="shared" si="311"/>
        <v>151796</v>
      </c>
      <c r="AM156" s="78">
        <f>SUM(AM157:AM163)</f>
        <v>235286</v>
      </c>
      <c r="AN156" s="78">
        <f t="shared" si="311"/>
        <v>190012</v>
      </c>
      <c r="AO156" s="78">
        <f>SUM(AO157:AO163)</f>
        <v>179354</v>
      </c>
      <c r="AP156" s="78">
        <f>SUM(AP157:AP163)</f>
        <v>168935</v>
      </c>
      <c r="AQ156" s="334"/>
      <c r="AR156" s="78">
        <f>SUM(AS156:BD156)</f>
        <v>3448789.05</v>
      </c>
      <c r="AS156" s="78">
        <f t="shared" ref="AS156:BD156" si="312">SUM(AS157:AS162)</f>
        <v>184127</v>
      </c>
      <c r="AT156" s="78">
        <f t="shared" si="312"/>
        <v>194843</v>
      </c>
      <c r="AU156" s="78">
        <f t="shared" si="312"/>
        <v>136858</v>
      </c>
      <c r="AV156" s="78">
        <f t="shared" si="312"/>
        <v>155028</v>
      </c>
      <c r="AW156" s="78">
        <f t="shared" si="312"/>
        <v>136830</v>
      </c>
      <c r="AX156" s="78">
        <f t="shared" si="312"/>
        <v>342290</v>
      </c>
      <c r="AY156" s="78">
        <f t="shared" si="312"/>
        <v>145949</v>
      </c>
      <c r="AZ156" s="78">
        <f t="shared" si="312"/>
        <v>135282</v>
      </c>
      <c r="BA156" s="78">
        <f t="shared" si="312"/>
        <v>1170871.27</v>
      </c>
      <c r="BB156" s="78">
        <f t="shared" si="312"/>
        <v>198914</v>
      </c>
      <c r="BC156" s="78">
        <f t="shared" si="312"/>
        <v>502060.78</v>
      </c>
      <c r="BD156" s="78">
        <f t="shared" si="312"/>
        <v>145736</v>
      </c>
      <c r="BE156" s="95"/>
      <c r="BF156" s="78">
        <f>SUM(BF157:BF162)</f>
        <v>0</v>
      </c>
      <c r="BG156" s="78">
        <f t="shared" ref="BG156:BR156" si="313">SUM(BG157:BG160)</f>
        <v>0</v>
      </c>
      <c r="BH156" s="78">
        <f t="shared" si="313"/>
        <v>0</v>
      </c>
      <c r="BI156" s="78">
        <f t="shared" si="313"/>
        <v>0</v>
      </c>
      <c r="BJ156" s="78">
        <f t="shared" si="313"/>
        <v>533.59</v>
      </c>
      <c r="BK156" s="78">
        <f t="shared" si="313"/>
        <v>0</v>
      </c>
      <c r="BL156" s="78">
        <f t="shared" si="313"/>
        <v>0</v>
      </c>
      <c r="BM156" s="78">
        <f t="shared" si="313"/>
        <v>0</v>
      </c>
      <c r="BN156" s="78">
        <f t="shared" si="313"/>
        <v>0</v>
      </c>
      <c r="BO156" s="78">
        <f t="shared" si="313"/>
        <v>0</v>
      </c>
      <c r="BP156" s="78">
        <f t="shared" si="313"/>
        <v>0</v>
      </c>
      <c r="BQ156" s="78">
        <f t="shared" si="313"/>
        <v>0</v>
      </c>
      <c r="BR156" s="78">
        <f t="shared" si="313"/>
        <v>0</v>
      </c>
      <c r="BS156" s="95"/>
      <c r="BT156" s="78">
        <f>SUM(BT157:BT162)</f>
        <v>0</v>
      </c>
      <c r="BU156" s="78">
        <f t="shared" ref="BU156:BZ156" si="314">SUM(BU157:BU160)</f>
        <v>0</v>
      </c>
      <c r="BV156" s="78">
        <f t="shared" si="314"/>
        <v>0</v>
      </c>
      <c r="BW156" s="78">
        <f t="shared" si="314"/>
        <v>0</v>
      </c>
      <c r="BX156" s="78">
        <f t="shared" si="314"/>
        <v>0</v>
      </c>
      <c r="BY156" s="78">
        <f t="shared" si="314"/>
        <v>0</v>
      </c>
      <c r="BZ156" s="78">
        <f t="shared" si="314"/>
        <v>0</v>
      </c>
      <c r="CA156" s="95"/>
      <c r="CB156" s="78">
        <f>SUM(CB157:CB160)</f>
        <v>0</v>
      </c>
    </row>
    <row r="157" spans="1:80" ht="13.5" hidden="1" thickTop="1" thickBot="1">
      <c r="A157" s="124" t="s">
        <v>331</v>
      </c>
      <c r="B157" s="76">
        <f>SUM(AC157:AJ157)</f>
        <v>0</v>
      </c>
      <c r="C157" s="76">
        <f t="shared" ref="C157:N157" si="315">SUM(S157:Z157)</f>
        <v>0</v>
      </c>
      <c r="D157" s="76">
        <f t="shared" si="315"/>
        <v>0</v>
      </c>
      <c r="E157" s="76">
        <f t="shared" si="315"/>
        <v>0</v>
      </c>
      <c r="F157" s="76">
        <f t="shared" si="315"/>
        <v>0</v>
      </c>
      <c r="G157" s="76">
        <f t="shared" si="315"/>
        <v>0</v>
      </c>
      <c r="H157" s="76">
        <f t="shared" si="315"/>
        <v>0</v>
      </c>
      <c r="I157" s="76">
        <f t="shared" si="315"/>
        <v>0</v>
      </c>
      <c r="J157" s="76">
        <f t="shared" si="315"/>
        <v>0</v>
      </c>
      <c r="K157" s="76">
        <f t="shared" si="315"/>
        <v>0</v>
      </c>
      <c r="L157" s="76">
        <f t="shared" si="315"/>
        <v>0</v>
      </c>
      <c r="M157" s="76">
        <f t="shared" si="315"/>
        <v>0</v>
      </c>
      <c r="N157" s="76">
        <f t="shared" si="315"/>
        <v>0</v>
      </c>
      <c r="O157" s="335"/>
      <c r="P157" s="76">
        <f>SUM(AE157:AL157)</f>
        <v>0</v>
      </c>
      <c r="Q157" s="76">
        <f t="shared" ref="Q157:AB157" si="316">SUM(V157:AC157)</f>
        <v>0</v>
      </c>
      <c r="R157" s="76">
        <f t="shared" si="316"/>
        <v>0</v>
      </c>
      <c r="S157" s="76">
        <f t="shared" si="316"/>
        <v>0</v>
      </c>
      <c r="T157" s="76">
        <f t="shared" si="316"/>
        <v>0</v>
      </c>
      <c r="U157" s="76">
        <f t="shared" si="316"/>
        <v>0</v>
      </c>
      <c r="V157" s="76">
        <f t="shared" si="316"/>
        <v>0</v>
      </c>
      <c r="W157" s="76">
        <f t="shared" si="316"/>
        <v>0</v>
      </c>
      <c r="X157" s="76">
        <f t="shared" si="316"/>
        <v>0</v>
      </c>
      <c r="Y157" s="76">
        <f t="shared" si="316"/>
        <v>0</v>
      </c>
      <c r="Z157" s="76">
        <f t="shared" si="316"/>
        <v>0</v>
      </c>
      <c r="AA157" s="76">
        <f t="shared" si="316"/>
        <v>0</v>
      </c>
      <c r="AB157" s="76">
        <f t="shared" si="316"/>
        <v>0</v>
      </c>
      <c r="AC157" s="335"/>
      <c r="AD157" s="76">
        <f>SUM(AI157:AP157)</f>
        <v>0</v>
      </c>
      <c r="AE157" s="76"/>
      <c r="AF157" s="76"/>
      <c r="AG157" s="76"/>
      <c r="AH157" s="76"/>
      <c r="AI157" s="76"/>
      <c r="AJ157" s="76"/>
      <c r="AK157" s="76">
        <v>0</v>
      </c>
      <c r="AL157" s="76">
        <v>0</v>
      </c>
      <c r="AM157" s="76">
        <v>0</v>
      </c>
      <c r="AN157" s="76">
        <v>0</v>
      </c>
      <c r="AO157" s="76">
        <v>0</v>
      </c>
      <c r="AP157" s="76">
        <v>0</v>
      </c>
      <c r="AQ157" s="335"/>
      <c r="AR157" s="76"/>
      <c r="AS157" s="76">
        <v>0</v>
      </c>
      <c r="AT157" s="76">
        <v>0</v>
      </c>
      <c r="AU157" s="76">
        <v>0</v>
      </c>
      <c r="AV157" s="76">
        <v>0</v>
      </c>
      <c r="AW157" s="76">
        <v>0</v>
      </c>
      <c r="AX157" s="76">
        <v>0</v>
      </c>
      <c r="AY157" s="76">
        <v>0</v>
      </c>
      <c r="AZ157" s="76">
        <v>0</v>
      </c>
      <c r="BA157" s="76">
        <v>0</v>
      </c>
      <c r="BB157" s="76">
        <v>0</v>
      </c>
      <c r="BC157" s="76">
        <v>0</v>
      </c>
      <c r="BD157" s="76">
        <v>0</v>
      </c>
      <c r="BE157" s="94"/>
      <c r="BF157" s="76">
        <v>0</v>
      </c>
      <c r="BG157" s="76"/>
      <c r="BH157" s="76"/>
      <c r="BI157" s="76"/>
      <c r="BJ157" s="76">
        <v>533.59</v>
      </c>
      <c r="BK157" s="76"/>
      <c r="BL157" s="76"/>
      <c r="BM157" s="76"/>
      <c r="BN157" s="76"/>
      <c r="BO157" s="76"/>
      <c r="BP157" s="76"/>
      <c r="BQ157" s="76"/>
      <c r="BR157" s="76"/>
      <c r="BS157" s="94"/>
      <c r="BT157" s="76">
        <v>0</v>
      </c>
      <c r="BU157" s="76"/>
      <c r="BV157" s="76"/>
      <c r="BW157" s="76"/>
      <c r="BX157" s="76"/>
      <c r="BY157" s="76"/>
      <c r="BZ157" s="76"/>
      <c r="CB157" s="76">
        <v>0</v>
      </c>
    </row>
    <row r="158" spans="1:80" ht="12.75" thickTop="1">
      <c r="A158" s="124" t="s">
        <v>332</v>
      </c>
      <c r="B158" s="144">
        <f t="shared" ref="B158:B163" si="317">SUM(C158:N158)</f>
        <v>0</v>
      </c>
      <c r="C158" s="144">
        <v>0</v>
      </c>
      <c r="D158" s="144">
        <v>0</v>
      </c>
      <c r="E158" s="144">
        <v>0</v>
      </c>
      <c r="F158" s="144">
        <v>0</v>
      </c>
      <c r="G158" s="144">
        <v>0</v>
      </c>
      <c r="H158" s="144">
        <v>0</v>
      </c>
      <c r="I158" s="144">
        <v>0</v>
      </c>
      <c r="J158" s="144">
        <v>0</v>
      </c>
      <c r="K158" s="144">
        <v>0</v>
      </c>
      <c r="L158" s="144">
        <v>0</v>
      </c>
      <c r="M158" s="144">
        <v>0</v>
      </c>
      <c r="N158" s="144">
        <v>0</v>
      </c>
      <c r="O158" s="335"/>
      <c r="P158" s="144">
        <f t="shared" ref="P158:P163" si="318">SUM(Q158:AB158)</f>
        <v>206114.33000000002</v>
      </c>
      <c r="Q158" s="117">
        <v>18390</v>
      </c>
      <c r="R158" s="117">
        <v>18390</v>
      </c>
      <c r="S158" s="117">
        <v>17500</v>
      </c>
      <c r="T158" s="117">
        <v>17500</v>
      </c>
      <c r="U158" s="117">
        <v>14834.33</v>
      </c>
      <c r="V158" s="117">
        <v>17500</v>
      </c>
      <c r="W158" s="117">
        <v>17000</v>
      </c>
      <c r="X158" s="117">
        <v>17000</v>
      </c>
      <c r="Y158" s="117">
        <v>17000</v>
      </c>
      <c r="Z158" s="117">
        <v>17000</v>
      </c>
      <c r="AA158" s="117">
        <v>17000</v>
      </c>
      <c r="AB158" s="117">
        <v>17000</v>
      </c>
      <c r="AC158" s="335"/>
      <c r="AD158" s="117">
        <f>SUM(AE158:AP158)</f>
        <v>575083</v>
      </c>
      <c r="AE158" s="117">
        <v>18377</v>
      </c>
      <c r="AF158" s="117">
        <v>23808</v>
      </c>
      <c r="AG158" s="117">
        <v>39354</v>
      </c>
      <c r="AH158" s="117">
        <v>24882</v>
      </c>
      <c r="AI158" s="117">
        <v>47331</v>
      </c>
      <c r="AJ158" s="117">
        <v>119793</v>
      </c>
      <c r="AK158" s="117">
        <v>80731</v>
      </c>
      <c r="AL158" s="117">
        <v>40196</v>
      </c>
      <c r="AM158" s="117">
        <v>75186</v>
      </c>
      <c r="AN158" s="117">
        <v>49312</v>
      </c>
      <c r="AO158" s="117">
        <v>33389</v>
      </c>
      <c r="AP158" s="117">
        <v>22724</v>
      </c>
      <c r="AQ158" s="335"/>
      <c r="AR158" s="117">
        <f>SUM(AS158:BD158)</f>
        <v>1021324</v>
      </c>
      <c r="AS158" s="117">
        <v>63975</v>
      </c>
      <c r="AT158" s="117">
        <v>73443</v>
      </c>
      <c r="AU158" s="117">
        <v>48958</v>
      </c>
      <c r="AV158" s="117">
        <v>63828</v>
      </c>
      <c r="AW158" s="117">
        <v>42830</v>
      </c>
      <c r="AX158" s="117">
        <v>231684</v>
      </c>
      <c r="AY158" s="117">
        <v>118849</v>
      </c>
      <c r="AZ158" s="117">
        <v>114347</v>
      </c>
      <c r="BA158" s="117">
        <v>70925</v>
      </c>
      <c r="BB158" s="117">
        <v>110014</v>
      </c>
      <c r="BC158" s="117">
        <v>47160</v>
      </c>
      <c r="BD158" s="117">
        <v>35311</v>
      </c>
      <c r="BE158" s="94"/>
      <c r="BF158" s="117">
        <v>0</v>
      </c>
      <c r="BG158" s="117"/>
      <c r="BH158" s="117"/>
      <c r="BI158" s="117"/>
      <c r="BJ158" s="117"/>
      <c r="BK158" s="117"/>
      <c r="BL158" s="117"/>
      <c r="BM158" s="117"/>
      <c r="BN158" s="117"/>
      <c r="BO158" s="117"/>
      <c r="BP158" s="117"/>
      <c r="BQ158" s="117"/>
      <c r="BR158" s="117"/>
      <c r="BS158" s="94"/>
      <c r="BT158" s="117">
        <v>0</v>
      </c>
      <c r="BU158" s="117"/>
      <c r="BV158" s="117"/>
      <c r="BW158" s="117"/>
      <c r="BX158" s="117"/>
      <c r="BY158" s="117"/>
      <c r="BZ158" s="117"/>
      <c r="CB158" s="117"/>
    </row>
    <row r="159" spans="1:80">
      <c r="A159" s="124" t="s">
        <v>333</v>
      </c>
      <c r="B159" s="144">
        <f t="shared" si="317"/>
        <v>207277</v>
      </c>
      <c r="C159" s="144">
        <v>0</v>
      </c>
      <c r="D159" s="144">
        <v>0</v>
      </c>
      <c r="E159" s="144">
        <v>0</v>
      </c>
      <c r="F159" s="144">
        <v>0</v>
      </c>
      <c r="G159" s="144">
        <v>0</v>
      </c>
      <c r="H159" s="144">
        <v>0</v>
      </c>
      <c r="I159" s="144">
        <v>0</v>
      </c>
      <c r="J159" s="144">
        <v>0</v>
      </c>
      <c r="K159" s="144">
        <v>0</v>
      </c>
      <c r="L159" s="144">
        <v>0</v>
      </c>
      <c r="M159" s="144">
        <v>0</v>
      </c>
      <c r="N159" s="144">
        <v>207277</v>
      </c>
      <c r="O159" s="335"/>
      <c r="P159" s="144">
        <f t="shared" si="318"/>
        <v>1526090</v>
      </c>
      <c r="Q159" s="117">
        <v>207177</v>
      </c>
      <c r="R159" s="117">
        <v>107249</v>
      </c>
      <c r="S159" s="117">
        <v>206396</v>
      </c>
      <c r="T159" s="117">
        <v>137050</v>
      </c>
      <c r="U159" s="117">
        <v>122020</v>
      </c>
      <c r="V159" s="117">
        <v>146025</v>
      </c>
      <c r="W159" s="117">
        <v>183435</v>
      </c>
      <c r="X159" s="117">
        <v>142078</v>
      </c>
      <c r="Y159" s="117">
        <v>137952</v>
      </c>
      <c r="Z159" s="117">
        <v>93468</v>
      </c>
      <c r="AA159" s="117">
        <v>2853</v>
      </c>
      <c r="AB159" s="117">
        <v>40387</v>
      </c>
      <c r="AC159" s="335"/>
      <c r="AD159" s="117">
        <f t="shared" ref="AD159:AD163" si="319">SUM(AE159:AP159)</f>
        <v>0</v>
      </c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17"/>
      <c r="AO159" s="117"/>
      <c r="AP159" s="117"/>
      <c r="AQ159" s="335"/>
      <c r="AR159" s="117"/>
      <c r="AS159" s="117"/>
      <c r="AT159" s="117"/>
      <c r="AU159" s="117"/>
      <c r="AV159" s="117"/>
      <c r="AW159" s="117"/>
      <c r="AX159" s="117"/>
      <c r="AY159" s="117"/>
      <c r="AZ159" s="117"/>
      <c r="BA159" s="117"/>
      <c r="BB159" s="117"/>
      <c r="BC159" s="117"/>
      <c r="BD159" s="117"/>
      <c r="BE159" s="94"/>
      <c r="BF159" s="117">
        <v>0</v>
      </c>
      <c r="BG159" s="117"/>
      <c r="BH159" s="117"/>
      <c r="BI159" s="117"/>
      <c r="BJ159" s="117"/>
      <c r="BK159" s="117"/>
      <c r="BL159" s="117"/>
      <c r="BM159" s="117"/>
      <c r="BN159" s="117"/>
      <c r="BO159" s="117"/>
      <c r="BP159" s="117"/>
      <c r="BQ159" s="117"/>
      <c r="BR159" s="117"/>
      <c r="BS159" s="94"/>
      <c r="BT159" s="117">
        <v>0</v>
      </c>
      <c r="BU159" s="117"/>
      <c r="BV159" s="117"/>
      <c r="BW159" s="117"/>
      <c r="BX159" s="117"/>
      <c r="BY159" s="117"/>
      <c r="BZ159" s="117"/>
      <c r="CB159" s="117"/>
    </row>
    <row r="160" spans="1:80">
      <c r="A160" s="124" t="s">
        <v>148</v>
      </c>
      <c r="B160" s="144">
        <f t="shared" si="317"/>
        <v>208369</v>
      </c>
      <c r="C160" s="144">
        <v>0</v>
      </c>
      <c r="D160" s="144">
        <v>0</v>
      </c>
      <c r="E160" s="144">
        <v>0</v>
      </c>
      <c r="F160" s="144">
        <v>0</v>
      </c>
      <c r="G160" s="144">
        <v>0</v>
      </c>
      <c r="H160" s="144">
        <v>0</v>
      </c>
      <c r="I160" s="144">
        <v>0</v>
      </c>
      <c r="J160" s="144">
        <v>0</v>
      </c>
      <c r="K160" s="144">
        <v>0</v>
      </c>
      <c r="L160" s="144">
        <v>0</v>
      </c>
      <c r="M160" s="144">
        <v>0</v>
      </c>
      <c r="N160" s="144">
        <v>208369</v>
      </c>
      <c r="O160" s="335"/>
      <c r="P160" s="144">
        <f t="shared" si="318"/>
        <v>2229351.5099999998</v>
      </c>
      <c r="Q160" s="117">
        <v>318358</v>
      </c>
      <c r="R160" s="117">
        <v>186209</v>
      </c>
      <c r="S160" s="117">
        <v>226695</v>
      </c>
      <c r="T160" s="117">
        <v>184093</v>
      </c>
      <c r="U160" s="117">
        <v>162911</v>
      </c>
      <c r="V160" s="117">
        <v>176001</v>
      </c>
      <c r="W160" s="117">
        <f>214795+10</f>
        <v>214805</v>
      </c>
      <c r="X160" s="117">
        <v>184083</v>
      </c>
      <c r="Y160" s="117">
        <v>195993</v>
      </c>
      <c r="Z160" s="117">
        <v>253691.51</v>
      </c>
      <c r="AA160" s="117">
        <v>967</v>
      </c>
      <c r="AB160" s="117">
        <v>125545</v>
      </c>
      <c r="AC160" s="335"/>
      <c r="AD160" s="117">
        <f t="shared" si="319"/>
        <v>1561346</v>
      </c>
      <c r="AE160" s="117">
        <v>173309</v>
      </c>
      <c r="AF160" s="117">
        <v>162363</v>
      </c>
      <c r="AG160" s="117">
        <v>169785</v>
      </c>
      <c r="AH160" s="117">
        <v>131573</v>
      </c>
      <c r="AI160" s="117">
        <v>128960</v>
      </c>
      <c r="AJ160" s="117">
        <v>31580</v>
      </c>
      <c r="AK160" s="117">
        <v>125840</v>
      </c>
      <c r="AL160" s="117">
        <v>111600</v>
      </c>
      <c r="AM160" s="117">
        <v>122800</v>
      </c>
      <c r="AN160" s="117">
        <v>117400</v>
      </c>
      <c r="AO160" s="117">
        <v>145965</v>
      </c>
      <c r="AP160" s="117">
        <v>140171</v>
      </c>
      <c r="AQ160" s="335"/>
      <c r="AR160" s="117">
        <f>SUM(AS160:BD160)</f>
        <v>2381312.7800000003</v>
      </c>
      <c r="AS160" s="117">
        <v>120152</v>
      </c>
      <c r="AT160" s="117">
        <v>98700</v>
      </c>
      <c r="AU160" s="117">
        <v>87900</v>
      </c>
      <c r="AV160" s="117">
        <v>86000</v>
      </c>
      <c r="AW160" s="117">
        <v>89800</v>
      </c>
      <c r="AX160" s="117">
        <v>106100</v>
      </c>
      <c r="AY160" s="117">
        <v>25400</v>
      </c>
      <c r="AZ160" s="117">
        <v>17335</v>
      </c>
      <c r="BA160" s="117">
        <v>1099700</v>
      </c>
      <c r="BB160" s="117">
        <v>87900</v>
      </c>
      <c r="BC160" s="117">
        <v>451900.78</v>
      </c>
      <c r="BD160" s="117">
        <v>110425</v>
      </c>
      <c r="BE160" s="94"/>
      <c r="BF160" s="117">
        <v>0</v>
      </c>
      <c r="BG160" s="117"/>
      <c r="BH160" s="117"/>
      <c r="BI160" s="117"/>
      <c r="BJ160" s="117"/>
      <c r="BK160" s="117"/>
      <c r="BL160" s="117"/>
      <c r="BM160" s="117"/>
      <c r="BN160" s="117"/>
      <c r="BO160" s="117"/>
      <c r="BP160" s="117"/>
      <c r="BQ160" s="117"/>
      <c r="BR160" s="117"/>
      <c r="BS160" s="94"/>
      <c r="BT160" s="117">
        <v>0</v>
      </c>
      <c r="BU160" s="117"/>
      <c r="BV160" s="117"/>
      <c r="BW160" s="117"/>
      <c r="BX160" s="117"/>
      <c r="BY160" s="117"/>
      <c r="BZ160" s="117"/>
      <c r="CB160" s="117">
        <v>0</v>
      </c>
    </row>
    <row r="161" spans="1:83">
      <c r="A161" s="124" t="s">
        <v>334</v>
      </c>
      <c r="B161" s="144">
        <f t="shared" si="317"/>
        <v>28100</v>
      </c>
      <c r="C161" s="144">
        <v>0</v>
      </c>
      <c r="D161" s="144">
        <v>0</v>
      </c>
      <c r="E161" s="144">
        <v>0</v>
      </c>
      <c r="F161" s="144">
        <v>0</v>
      </c>
      <c r="G161" s="144">
        <v>0</v>
      </c>
      <c r="H161" s="144">
        <v>0</v>
      </c>
      <c r="I161" s="144">
        <v>0</v>
      </c>
      <c r="J161" s="144">
        <v>0</v>
      </c>
      <c r="K161" s="144">
        <v>0</v>
      </c>
      <c r="L161" s="144">
        <v>0</v>
      </c>
      <c r="M161" s="144">
        <v>0</v>
      </c>
      <c r="N161" s="144">
        <v>28100</v>
      </c>
      <c r="O161" s="335"/>
      <c r="P161" s="144">
        <f t="shared" si="318"/>
        <v>9697694</v>
      </c>
      <c r="Q161" s="117">
        <v>2800</v>
      </c>
      <c r="R161" s="117">
        <f>415900-413000</f>
        <v>2900</v>
      </c>
      <c r="S161" s="117">
        <v>107400</v>
      </c>
      <c r="T161" s="117">
        <v>53464</v>
      </c>
      <c r="U161" s="117">
        <f>367600-327000</f>
        <v>40600</v>
      </c>
      <c r="V161" s="117">
        <f>35730-6000</f>
        <v>29730</v>
      </c>
      <c r="W161" s="117">
        <f>431000-414000</f>
        <v>17000</v>
      </c>
      <c r="X161" s="117">
        <v>53600</v>
      </c>
      <c r="Y161" s="117">
        <v>0</v>
      </c>
      <c r="Z161" s="117">
        <v>38200</v>
      </c>
      <c r="AA161" s="117">
        <f>9900+9334000</f>
        <v>9343900</v>
      </c>
      <c r="AB161" s="117">
        <v>8100</v>
      </c>
      <c r="AC161" s="335"/>
      <c r="AD161" s="117">
        <f t="shared" si="319"/>
        <v>1117300</v>
      </c>
      <c r="AE161" s="117">
        <v>5400</v>
      </c>
      <c r="AF161" s="117">
        <v>29400</v>
      </c>
      <c r="AG161" s="117">
        <v>28100</v>
      </c>
      <c r="AH161" s="117">
        <v>25000</v>
      </c>
      <c r="AI161" s="117">
        <v>27700</v>
      </c>
      <c r="AJ161" s="117">
        <v>33900</v>
      </c>
      <c r="AK161" s="117">
        <v>901400</v>
      </c>
      <c r="AL161" s="117">
        <v>0</v>
      </c>
      <c r="AM161" s="117">
        <v>37300</v>
      </c>
      <c r="AN161" s="117">
        <v>23300</v>
      </c>
      <c r="AO161" s="117"/>
      <c r="AP161" s="117">
        <v>5800</v>
      </c>
      <c r="AQ161" s="335"/>
      <c r="AR161" s="117">
        <f>SUM(AS161:BD161)</f>
        <v>45906</v>
      </c>
      <c r="AS161" s="117"/>
      <c r="AT161" s="117">
        <v>22700</v>
      </c>
      <c r="AU161" s="117">
        <v>0</v>
      </c>
      <c r="AV161" s="117">
        <v>5200</v>
      </c>
      <c r="AW161" s="117">
        <v>4200</v>
      </c>
      <c r="AX161" s="117">
        <v>4506</v>
      </c>
      <c r="AY161" s="117">
        <v>1700</v>
      </c>
      <c r="AZ161" s="117">
        <v>3600</v>
      </c>
      <c r="BA161" s="117">
        <v>0</v>
      </c>
      <c r="BB161" s="117">
        <v>1000</v>
      </c>
      <c r="BC161" s="117">
        <v>3000</v>
      </c>
      <c r="BD161" s="117">
        <v>0</v>
      </c>
      <c r="BE161" s="94"/>
      <c r="BF161" s="117">
        <v>0</v>
      </c>
      <c r="BG161" s="117"/>
      <c r="BH161" s="117"/>
      <c r="BI161" s="117"/>
      <c r="BJ161" s="117"/>
      <c r="BK161" s="117"/>
      <c r="BL161" s="117"/>
      <c r="BM161" s="117"/>
      <c r="BN161" s="117"/>
      <c r="BO161" s="117"/>
      <c r="BP161" s="117"/>
      <c r="BQ161" s="117"/>
      <c r="BR161" s="117"/>
      <c r="BS161" s="94"/>
      <c r="BT161" s="117">
        <v>0</v>
      </c>
      <c r="BU161" s="117"/>
      <c r="BV161" s="117"/>
      <c r="BW161" s="117"/>
      <c r="BX161" s="117"/>
      <c r="BY161" s="117"/>
      <c r="BZ161" s="117"/>
      <c r="CB161" s="117"/>
    </row>
    <row r="162" spans="1:83">
      <c r="A162" s="124" t="s">
        <v>448</v>
      </c>
      <c r="B162" s="144">
        <f t="shared" si="317"/>
        <v>1152</v>
      </c>
      <c r="C162" s="144">
        <v>0</v>
      </c>
      <c r="D162" s="144">
        <v>0</v>
      </c>
      <c r="E162" s="144">
        <v>0</v>
      </c>
      <c r="F162" s="144">
        <v>0</v>
      </c>
      <c r="G162" s="144">
        <v>0</v>
      </c>
      <c r="H162" s="144">
        <v>0</v>
      </c>
      <c r="I162" s="144">
        <v>0</v>
      </c>
      <c r="J162" s="144">
        <v>0</v>
      </c>
      <c r="K162" s="144">
        <v>0</v>
      </c>
      <c r="L162" s="144">
        <v>0</v>
      </c>
      <c r="M162" s="144">
        <v>0</v>
      </c>
      <c r="N162" s="144">
        <v>1152</v>
      </c>
      <c r="O162" s="335"/>
      <c r="P162" s="144">
        <f t="shared" si="318"/>
        <v>1407</v>
      </c>
      <c r="Q162" s="117">
        <v>0</v>
      </c>
      <c r="R162" s="117">
        <v>0</v>
      </c>
      <c r="S162" s="117">
        <f>-20-139</f>
        <v>-159</v>
      </c>
      <c r="T162" s="117">
        <v>0</v>
      </c>
      <c r="U162" s="117">
        <v>440</v>
      </c>
      <c r="V162" s="117">
        <v>648</v>
      </c>
      <c r="W162" s="117">
        <v>647</v>
      </c>
      <c r="X162" s="117">
        <f>-89-80</f>
        <v>-169</v>
      </c>
      <c r="Y162" s="117">
        <v>0</v>
      </c>
      <c r="Z162" s="117">
        <v>0</v>
      </c>
      <c r="AA162" s="117">
        <v>0</v>
      </c>
      <c r="AB162" s="117">
        <v>0</v>
      </c>
      <c r="AC162" s="335"/>
      <c r="AD162" s="117">
        <f t="shared" si="319"/>
        <v>400</v>
      </c>
      <c r="AE162" s="117">
        <v>0</v>
      </c>
      <c r="AF162" s="117">
        <v>160</v>
      </c>
      <c r="AG162" s="117">
        <v>0</v>
      </c>
      <c r="AH162" s="117">
        <v>0</v>
      </c>
      <c r="AI162" s="117">
        <v>0</v>
      </c>
      <c r="AJ162" s="117">
        <v>0</v>
      </c>
      <c r="AK162" s="117">
        <v>0</v>
      </c>
      <c r="AL162" s="117">
        <v>0</v>
      </c>
      <c r="AM162" s="117">
        <v>0</v>
      </c>
      <c r="AN162" s="117">
        <v>0</v>
      </c>
      <c r="AO162" s="117">
        <v>0</v>
      </c>
      <c r="AP162" s="117">
        <v>240</v>
      </c>
      <c r="AQ162" s="335"/>
      <c r="AR162" s="117">
        <f>SUM(AS162:BD162)</f>
        <v>246.27</v>
      </c>
      <c r="AS162" s="117">
        <v>0</v>
      </c>
      <c r="AT162" s="117">
        <v>0</v>
      </c>
      <c r="AU162" s="117">
        <v>0</v>
      </c>
      <c r="AV162" s="117">
        <v>0</v>
      </c>
      <c r="AW162" s="117">
        <v>0</v>
      </c>
      <c r="AX162" s="117">
        <v>0</v>
      </c>
      <c r="AY162" s="117">
        <v>0</v>
      </c>
      <c r="AZ162" s="117">
        <v>0</v>
      </c>
      <c r="BA162" s="117">
        <v>246.27</v>
      </c>
      <c r="BB162" s="117">
        <v>0</v>
      </c>
      <c r="BC162" s="117">
        <v>0</v>
      </c>
      <c r="BD162" s="117">
        <v>0</v>
      </c>
      <c r="BE162" s="94"/>
      <c r="BF162" s="117">
        <v>0</v>
      </c>
      <c r="BG162" s="117"/>
      <c r="BH162" s="117"/>
      <c r="BI162" s="117"/>
      <c r="BJ162" s="117"/>
      <c r="BK162" s="117"/>
      <c r="BL162" s="117"/>
      <c r="BM162" s="117"/>
      <c r="BN162" s="117"/>
      <c r="BO162" s="117"/>
      <c r="BP162" s="117"/>
      <c r="BQ162" s="117"/>
      <c r="BR162" s="117"/>
      <c r="BS162" s="94"/>
      <c r="BT162" s="117">
        <v>0</v>
      </c>
      <c r="BU162" s="117"/>
      <c r="BV162" s="117"/>
      <c r="BW162" s="117"/>
      <c r="BX162" s="117"/>
      <c r="BY162" s="117"/>
      <c r="BZ162" s="117"/>
      <c r="CB162" s="117"/>
    </row>
    <row r="163" spans="1:83" ht="12.75" thickBot="1">
      <c r="A163" s="124" t="s">
        <v>447</v>
      </c>
      <c r="B163" s="173">
        <f t="shared" si="317"/>
        <v>0</v>
      </c>
      <c r="C163" s="173">
        <f t="shared" ref="C163:N163" si="320">SUM(E163:P163)</f>
        <v>0</v>
      </c>
      <c r="D163" s="173">
        <f t="shared" si="320"/>
        <v>0</v>
      </c>
      <c r="E163" s="173">
        <f t="shared" si="320"/>
        <v>0</v>
      </c>
      <c r="F163" s="173">
        <f t="shared" si="320"/>
        <v>0</v>
      </c>
      <c r="G163" s="173">
        <f t="shared" si="320"/>
        <v>0</v>
      </c>
      <c r="H163" s="173">
        <f t="shared" si="320"/>
        <v>0</v>
      </c>
      <c r="I163" s="173">
        <f t="shared" si="320"/>
        <v>0</v>
      </c>
      <c r="J163" s="173">
        <f t="shared" si="320"/>
        <v>0</v>
      </c>
      <c r="K163" s="173">
        <f t="shared" si="320"/>
        <v>0</v>
      </c>
      <c r="L163" s="173">
        <f t="shared" si="320"/>
        <v>0</v>
      </c>
      <c r="M163" s="173">
        <f t="shared" si="320"/>
        <v>0</v>
      </c>
      <c r="N163" s="173">
        <f t="shared" si="320"/>
        <v>0</v>
      </c>
      <c r="O163" s="335"/>
      <c r="P163" s="173">
        <f t="shared" si="318"/>
        <v>0</v>
      </c>
      <c r="Q163" s="314">
        <v>0</v>
      </c>
      <c r="R163" s="314">
        <v>0</v>
      </c>
      <c r="S163" s="314">
        <v>0</v>
      </c>
      <c r="T163" s="314">
        <v>0</v>
      </c>
      <c r="U163" s="314">
        <v>0</v>
      </c>
      <c r="V163" s="314">
        <v>0</v>
      </c>
      <c r="W163" s="314">
        <v>0</v>
      </c>
      <c r="X163" s="314">
        <v>0</v>
      </c>
      <c r="Y163" s="314">
        <v>0</v>
      </c>
      <c r="Z163" s="314">
        <v>0</v>
      </c>
      <c r="AA163" s="314">
        <v>0</v>
      </c>
      <c r="AB163" s="314">
        <v>0</v>
      </c>
      <c r="AC163" s="335"/>
      <c r="AD163" s="314">
        <f t="shared" si="319"/>
        <v>0</v>
      </c>
      <c r="AE163" s="173">
        <v>0</v>
      </c>
      <c r="AF163" s="173">
        <v>0</v>
      </c>
      <c r="AG163" s="173">
        <v>0</v>
      </c>
      <c r="AH163" s="173">
        <v>0</v>
      </c>
      <c r="AI163" s="173">
        <v>0</v>
      </c>
      <c r="AJ163" s="173">
        <v>0</v>
      </c>
      <c r="AK163" s="110">
        <v>0</v>
      </c>
      <c r="AL163" s="110">
        <v>0</v>
      </c>
      <c r="AM163" s="110">
        <v>0</v>
      </c>
      <c r="AN163" s="110">
        <v>0</v>
      </c>
      <c r="AO163" s="110">
        <v>0</v>
      </c>
      <c r="AP163" s="110">
        <v>0</v>
      </c>
      <c r="AQ163" s="335"/>
      <c r="AR163" s="110">
        <v>0</v>
      </c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10"/>
      <c r="BE163" s="94"/>
      <c r="BF163" s="110">
        <v>0</v>
      </c>
      <c r="BG163" s="110"/>
      <c r="BH163" s="110"/>
      <c r="BI163" s="110"/>
      <c r="BJ163" s="110"/>
      <c r="BK163" s="110"/>
      <c r="BL163" s="110"/>
      <c r="BM163" s="110"/>
      <c r="BN163" s="110"/>
      <c r="BO163" s="110"/>
      <c r="BP163" s="110"/>
      <c r="BQ163" s="110"/>
      <c r="BR163" s="110"/>
      <c r="BS163" s="94"/>
      <c r="BT163" s="110">
        <v>0</v>
      </c>
      <c r="BU163" s="110"/>
      <c r="BV163" s="110"/>
      <c r="BW163" s="110"/>
      <c r="BX163" s="110"/>
      <c r="BY163" s="110"/>
      <c r="BZ163" s="110"/>
      <c r="CB163" s="110"/>
    </row>
    <row r="164" spans="1:83" ht="13.5" thickTop="1" thickBot="1">
      <c r="A164" s="81"/>
      <c r="B164" s="331"/>
      <c r="C164" s="331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/>
      <c r="O164" s="81"/>
      <c r="P164" s="331"/>
      <c r="Q164" s="331"/>
      <c r="R164" s="331"/>
      <c r="S164" s="331"/>
      <c r="T164" s="331"/>
      <c r="U164" s="331"/>
      <c r="V164" s="331"/>
      <c r="W164" s="331"/>
      <c r="X164" s="331"/>
      <c r="Y164" s="331"/>
      <c r="Z164" s="331"/>
      <c r="AA164" s="331"/>
      <c r="AB164" s="331"/>
      <c r="AC164" s="81"/>
      <c r="AD164" s="331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1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  <c r="BT164" s="87"/>
      <c r="BU164" s="87"/>
      <c r="BV164" s="87"/>
      <c r="BW164" s="87"/>
      <c r="BX164" s="87"/>
      <c r="BY164" s="87"/>
      <c r="BZ164" s="87"/>
      <c r="CA164" s="87"/>
      <c r="CB164" s="87"/>
    </row>
    <row r="165" spans="1:83" ht="13.5" thickTop="1" thickBot="1">
      <c r="A165" s="81" t="s">
        <v>335</v>
      </c>
      <c r="B165" s="75">
        <f t="shared" ref="B165:N165" si="321">+B168</f>
        <v>0</v>
      </c>
      <c r="C165" s="75">
        <f t="shared" ref="C165:D165" si="322">+C168</f>
        <v>0</v>
      </c>
      <c r="D165" s="75">
        <f t="shared" si="322"/>
        <v>0</v>
      </c>
      <c r="E165" s="75">
        <f t="shared" si="321"/>
        <v>0</v>
      </c>
      <c r="F165" s="75">
        <f t="shared" ref="F165:G165" si="323">+F168</f>
        <v>0</v>
      </c>
      <c r="G165" s="75">
        <f t="shared" si="323"/>
        <v>0</v>
      </c>
      <c r="H165" s="75">
        <f t="shared" si="321"/>
        <v>0</v>
      </c>
      <c r="I165" s="75">
        <f t="shared" ref="I165:J165" si="324">+I168</f>
        <v>0</v>
      </c>
      <c r="J165" s="75">
        <f t="shared" si="324"/>
        <v>0</v>
      </c>
      <c r="K165" s="75">
        <f t="shared" si="321"/>
        <v>0</v>
      </c>
      <c r="L165" s="75">
        <f t="shared" ref="L165:M165" si="325">+L168</f>
        <v>0</v>
      </c>
      <c r="M165" s="75">
        <f t="shared" si="325"/>
        <v>0</v>
      </c>
      <c r="N165" s="75">
        <f t="shared" si="321"/>
        <v>0</v>
      </c>
      <c r="O165" s="90"/>
      <c r="P165" s="75">
        <f t="shared" ref="P165:Z165" si="326">+P168</f>
        <v>0</v>
      </c>
      <c r="Q165" s="75">
        <f t="shared" si="326"/>
        <v>0</v>
      </c>
      <c r="R165" s="75">
        <f t="shared" ref="R165:S165" si="327">+R168</f>
        <v>0</v>
      </c>
      <c r="S165" s="75">
        <f t="shared" si="327"/>
        <v>0</v>
      </c>
      <c r="T165" s="75">
        <f t="shared" si="326"/>
        <v>0</v>
      </c>
      <c r="U165" s="75">
        <f t="shared" ref="U165:V165" si="328">+U168</f>
        <v>0</v>
      </c>
      <c r="V165" s="75">
        <f t="shared" si="328"/>
        <v>0</v>
      </c>
      <c r="W165" s="75">
        <f t="shared" si="326"/>
        <v>0</v>
      </c>
      <c r="X165" s="75">
        <f t="shared" ref="X165:Y165" si="329">+X168</f>
        <v>0</v>
      </c>
      <c r="Y165" s="75">
        <f t="shared" si="329"/>
        <v>0</v>
      </c>
      <c r="Z165" s="75">
        <f t="shared" si="326"/>
        <v>0</v>
      </c>
      <c r="AA165" s="75">
        <f t="shared" ref="AA165:AB165" si="330">+AA168</f>
        <v>0</v>
      </c>
      <c r="AB165" s="75">
        <f t="shared" si="330"/>
        <v>0</v>
      </c>
      <c r="AC165" s="90"/>
      <c r="AD165" s="75">
        <f t="shared" ref="AD165:AO165" si="331">+AD168</f>
        <v>0</v>
      </c>
      <c r="AE165" s="75">
        <f t="shared" si="331"/>
        <v>0</v>
      </c>
      <c r="AF165" s="75">
        <f t="shared" si="331"/>
        <v>0</v>
      </c>
      <c r="AG165" s="75">
        <f t="shared" si="331"/>
        <v>0</v>
      </c>
      <c r="AH165" s="75">
        <f t="shared" si="331"/>
        <v>0</v>
      </c>
      <c r="AI165" s="75">
        <f t="shared" si="331"/>
        <v>0</v>
      </c>
      <c r="AJ165" s="75">
        <f t="shared" si="331"/>
        <v>0</v>
      </c>
      <c r="AK165" s="75">
        <f t="shared" si="331"/>
        <v>0</v>
      </c>
      <c r="AL165" s="75">
        <f t="shared" si="331"/>
        <v>0</v>
      </c>
      <c r="AM165" s="75">
        <f t="shared" si="331"/>
        <v>0</v>
      </c>
      <c r="AN165" s="75">
        <f t="shared" si="331"/>
        <v>0</v>
      </c>
      <c r="AO165" s="75">
        <f t="shared" si="331"/>
        <v>0</v>
      </c>
      <c r="AP165" s="75">
        <f>+AP168</f>
        <v>0</v>
      </c>
      <c r="AQ165" s="90"/>
      <c r="AR165" s="75">
        <v>0</v>
      </c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98"/>
      <c r="BF165" s="75">
        <v>0</v>
      </c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87"/>
      <c r="BT165" s="75">
        <v>0</v>
      </c>
      <c r="BU165" s="75"/>
      <c r="BV165" s="75"/>
      <c r="BW165" s="75"/>
      <c r="BX165" s="75"/>
      <c r="BY165" s="75"/>
      <c r="BZ165" s="75"/>
      <c r="CA165" s="95"/>
      <c r="CB165" s="75"/>
    </row>
    <row r="166" spans="1:83" ht="13.5" hidden="1" thickTop="1" thickBot="1">
      <c r="A166" s="64" t="s">
        <v>336</v>
      </c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>
        <v>0</v>
      </c>
      <c r="BR166" s="72">
        <v>0</v>
      </c>
      <c r="BT166" s="72"/>
      <c r="BU166" s="72"/>
      <c r="BV166" s="72"/>
      <c r="BW166" s="72"/>
      <c r="BX166" s="72"/>
      <c r="BY166" s="72">
        <v>0</v>
      </c>
      <c r="BZ166" s="72">
        <v>0</v>
      </c>
      <c r="CB166" s="72">
        <v>0</v>
      </c>
    </row>
    <row r="167" spans="1:83" ht="13.5" hidden="1" thickTop="1" thickBot="1">
      <c r="A167" s="81" t="s">
        <v>337</v>
      </c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90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90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90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98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87"/>
      <c r="BT167" s="75"/>
      <c r="BU167" s="75"/>
      <c r="BV167" s="75"/>
      <c r="BW167" s="75"/>
      <c r="BX167" s="75"/>
      <c r="BY167" s="75"/>
      <c r="BZ167" s="75"/>
      <c r="CA167" s="95"/>
      <c r="CB167" s="75"/>
    </row>
    <row r="168" spans="1:83" ht="13.5" thickTop="1" thickBot="1">
      <c r="A168" s="64" t="s">
        <v>338</v>
      </c>
      <c r="B168" s="173">
        <f>SUM(C168:N168)</f>
        <v>0</v>
      </c>
      <c r="C168" s="173">
        <f t="shared" ref="C168:N168" si="332">SUM(E168:P168)</f>
        <v>0</v>
      </c>
      <c r="D168" s="173">
        <f t="shared" si="332"/>
        <v>0</v>
      </c>
      <c r="E168" s="173">
        <f t="shared" si="332"/>
        <v>0</v>
      </c>
      <c r="F168" s="173">
        <f t="shared" si="332"/>
        <v>0</v>
      </c>
      <c r="G168" s="173">
        <f t="shared" si="332"/>
        <v>0</v>
      </c>
      <c r="H168" s="173">
        <f t="shared" si="332"/>
        <v>0</v>
      </c>
      <c r="I168" s="173">
        <f t="shared" si="332"/>
        <v>0</v>
      </c>
      <c r="J168" s="173">
        <f t="shared" si="332"/>
        <v>0</v>
      </c>
      <c r="K168" s="173">
        <f t="shared" si="332"/>
        <v>0</v>
      </c>
      <c r="L168" s="173">
        <f t="shared" si="332"/>
        <v>0</v>
      </c>
      <c r="M168" s="173">
        <f t="shared" si="332"/>
        <v>0</v>
      </c>
      <c r="N168" s="173">
        <f t="shared" si="332"/>
        <v>0</v>
      </c>
      <c r="P168" s="173">
        <f>SUM(Q168:AB168)</f>
        <v>0</v>
      </c>
      <c r="Q168" s="72">
        <v>0</v>
      </c>
      <c r="R168" s="72">
        <v>0</v>
      </c>
      <c r="S168" s="72">
        <v>0</v>
      </c>
      <c r="T168" s="72">
        <v>0</v>
      </c>
      <c r="U168" s="72">
        <v>0</v>
      </c>
      <c r="V168" s="72">
        <v>0</v>
      </c>
      <c r="W168" s="72">
        <v>0</v>
      </c>
      <c r="X168" s="72">
        <v>0</v>
      </c>
      <c r="Y168" s="72">
        <v>0</v>
      </c>
      <c r="Z168" s="72">
        <v>0</v>
      </c>
      <c r="AA168" s="72">
        <v>0</v>
      </c>
      <c r="AB168" s="72">
        <v>0</v>
      </c>
      <c r="AD168" s="72">
        <f t="shared" ref="AD168" si="333">SUM(AE168:AP168)</f>
        <v>0</v>
      </c>
      <c r="AE168" s="72">
        <v>0</v>
      </c>
      <c r="AF168" s="72">
        <v>0</v>
      </c>
      <c r="AG168" s="72">
        <v>0</v>
      </c>
      <c r="AH168" s="72">
        <v>0</v>
      </c>
      <c r="AI168" s="72">
        <v>0</v>
      </c>
      <c r="AJ168" s="72">
        <v>0</v>
      </c>
      <c r="AK168" s="72">
        <v>0</v>
      </c>
      <c r="AL168" s="72">
        <v>0</v>
      </c>
      <c r="AM168" s="72">
        <v>0</v>
      </c>
      <c r="AN168" s="72">
        <v>0</v>
      </c>
      <c r="AO168" s="72">
        <v>0</v>
      </c>
      <c r="AP168" s="72">
        <v>0</v>
      </c>
      <c r="AR168" s="110">
        <v>0</v>
      </c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F168" s="110">
        <v>0</v>
      </c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T168" s="110">
        <v>0</v>
      </c>
      <c r="BU168" s="72"/>
      <c r="BV168" s="72"/>
      <c r="BW168" s="72"/>
      <c r="BX168" s="72"/>
      <c r="BY168" s="72"/>
      <c r="BZ168" s="72"/>
      <c r="CB168" s="72"/>
    </row>
    <row r="169" spans="1:83" ht="13.5" hidden="1" thickTop="1" thickBot="1">
      <c r="A169" s="119" t="s">
        <v>339</v>
      </c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119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119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119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95"/>
      <c r="BF169" s="78"/>
      <c r="BG169" s="78"/>
      <c r="BH169" s="78"/>
      <c r="BI169" s="75"/>
      <c r="BJ169" s="75"/>
      <c r="BK169" s="75"/>
      <c r="BL169" s="75"/>
      <c r="BM169" s="75"/>
      <c r="BN169" s="75"/>
      <c r="BO169" s="75"/>
      <c r="BP169" s="75"/>
      <c r="BQ169" s="75">
        <f t="shared" ref="BQ169:BR169" si="334">SUM(BQ166:BQ168)</f>
        <v>0</v>
      </c>
      <c r="BR169" s="75">
        <f t="shared" si="334"/>
        <v>0</v>
      </c>
      <c r="BS169" s="95"/>
      <c r="BT169" s="78"/>
      <c r="BU169" s="75"/>
      <c r="BV169" s="75"/>
      <c r="BW169" s="75"/>
      <c r="BX169" s="75"/>
      <c r="BY169" s="75">
        <f t="shared" ref="BY169:BZ169" si="335">SUM(BY166:BY168)</f>
        <v>0</v>
      </c>
      <c r="BZ169" s="75">
        <f t="shared" si="335"/>
        <v>0</v>
      </c>
      <c r="CA169" s="95"/>
      <c r="CB169" s="75">
        <f>SUM(CB166:CB168)</f>
        <v>0</v>
      </c>
    </row>
    <row r="170" spans="1:83" ht="13.5" thickTop="1" thickBot="1">
      <c r="B170" s="333"/>
      <c r="C170" s="333"/>
      <c r="D170" s="333"/>
      <c r="E170" s="333"/>
      <c r="F170" s="333"/>
      <c r="G170" s="333"/>
      <c r="H170" s="333"/>
      <c r="I170" s="333"/>
      <c r="J170" s="333"/>
      <c r="K170" s="333"/>
      <c r="L170" s="333"/>
      <c r="M170" s="333"/>
      <c r="N170" s="333"/>
      <c r="P170" s="333"/>
      <c r="Q170" s="333"/>
      <c r="R170" s="333"/>
      <c r="S170" s="333"/>
      <c r="T170" s="333"/>
      <c r="U170" s="333"/>
      <c r="V170" s="333"/>
      <c r="W170" s="333"/>
      <c r="X170" s="333"/>
      <c r="Y170" s="333"/>
      <c r="Z170" s="333"/>
      <c r="AA170" s="333"/>
      <c r="AB170" s="333"/>
      <c r="AD170" s="333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R170" s="118"/>
      <c r="AS170" s="118"/>
      <c r="AT170" s="118"/>
      <c r="AU170" s="118"/>
      <c r="AV170" s="118"/>
      <c r="AW170" s="118"/>
      <c r="AX170" s="118"/>
      <c r="AY170" s="118"/>
      <c r="AZ170" s="118"/>
      <c r="BA170" s="118"/>
      <c r="BB170" s="118"/>
      <c r="BC170" s="118"/>
      <c r="BD170" s="118"/>
      <c r="BF170" s="118"/>
      <c r="BG170" s="118"/>
      <c r="BH170" s="118"/>
      <c r="BI170" s="118"/>
      <c r="BJ170" s="118"/>
      <c r="BK170" s="118"/>
      <c r="BL170" s="118"/>
      <c r="BM170" s="118"/>
      <c r="BN170" s="118"/>
      <c r="BO170" s="118"/>
      <c r="BP170" s="118"/>
      <c r="BQ170" s="118"/>
      <c r="BR170" s="118"/>
      <c r="BT170" s="118"/>
      <c r="BU170" s="118"/>
      <c r="BV170" s="118"/>
      <c r="BW170" s="118"/>
      <c r="BX170" s="118"/>
      <c r="BY170" s="118"/>
      <c r="BZ170" s="118"/>
      <c r="CB170" s="118"/>
    </row>
    <row r="171" spans="1:83" ht="13.5" thickTop="1" thickBot="1">
      <c r="A171" s="329" t="s">
        <v>340</v>
      </c>
      <c r="B171" s="326">
        <f t="shared" ref="B171:N171" si="336">+B165+B156</f>
        <v>444898</v>
      </c>
      <c r="C171" s="326">
        <f t="shared" ref="C171:D171" si="337">+C165+C156</f>
        <v>0</v>
      </c>
      <c r="D171" s="326">
        <f t="shared" si="337"/>
        <v>0</v>
      </c>
      <c r="E171" s="326">
        <f t="shared" si="336"/>
        <v>0</v>
      </c>
      <c r="F171" s="326">
        <f t="shared" ref="F171:G171" si="338">+F165+F156</f>
        <v>0</v>
      </c>
      <c r="G171" s="326">
        <f t="shared" si="338"/>
        <v>0</v>
      </c>
      <c r="H171" s="326">
        <f t="shared" si="336"/>
        <v>0</v>
      </c>
      <c r="I171" s="326">
        <f t="shared" ref="I171:J171" si="339">+I165+I156</f>
        <v>0</v>
      </c>
      <c r="J171" s="326">
        <f t="shared" si="339"/>
        <v>0</v>
      </c>
      <c r="K171" s="326">
        <f t="shared" si="336"/>
        <v>0</v>
      </c>
      <c r="L171" s="326">
        <f t="shared" ref="L171:M171" si="340">+L165+L156</f>
        <v>0</v>
      </c>
      <c r="M171" s="326">
        <f t="shared" si="340"/>
        <v>0</v>
      </c>
      <c r="N171" s="326">
        <f t="shared" si="336"/>
        <v>444898</v>
      </c>
      <c r="O171" s="79"/>
      <c r="P171" s="326">
        <f t="shared" ref="P171:AB171" si="341">+P165+P156</f>
        <v>13660656.84</v>
      </c>
      <c r="Q171" s="326">
        <f t="shared" ref="Q171" si="342">+Q165+Q156</f>
        <v>546725</v>
      </c>
      <c r="R171" s="326">
        <f t="shared" si="341"/>
        <v>314748</v>
      </c>
      <c r="S171" s="326">
        <f t="shared" ref="S171:T171" si="343">+S165+S156</f>
        <v>557832</v>
      </c>
      <c r="T171" s="326">
        <f t="shared" si="343"/>
        <v>392107</v>
      </c>
      <c r="U171" s="326">
        <f t="shared" si="341"/>
        <v>340805.32999999996</v>
      </c>
      <c r="V171" s="326">
        <f t="shared" ref="V171:W171" si="344">+V165+V156</f>
        <v>369904</v>
      </c>
      <c r="W171" s="326">
        <f t="shared" si="344"/>
        <v>432887</v>
      </c>
      <c r="X171" s="326">
        <f t="shared" si="341"/>
        <v>396592</v>
      </c>
      <c r="Y171" s="326">
        <f t="shared" si="341"/>
        <v>350945</v>
      </c>
      <c r="Z171" s="326">
        <f t="shared" si="341"/>
        <v>402359.51</v>
      </c>
      <c r="AA171" s="326">
        <f t="shared" si="341"/>
        <v>9364720</v>
      </c>
      <c r="AB171" s="326">
        <f t="shared" si="341"/>
        <v>191032</v>
      </c>
      <c r="AC171" s="79"/>
      <c r="AD171" s="326">
        <f>+AD165+AD156</f>
        <v>3254129</v>
      </c>
      <c r="AE171" s="326">
        <f>+AE165+AE156</f>
        <v>197086</v>
      </c>
      <c r="AF171" s="326">
        <f t="shared" ref="AF171:AP171" si="345">+AF165+AF156</f>
        <v>215731</v>
      </c>
      <c r="AG171" s="326">
        <f t="shared" si="345"/>
        <v>237239</v>
      </c>
      <c r="AH171" s="326">
        <f t="shared" si="345"/>
        <v>181455</v>
      </c>
      <c r="AI171" s="326">
        <f t="shared" si="345"/>
        <v>203991</v>
      </c>
      <c r="AJ171" s="326">
        <f t="shared" si="345"/>
        <v>185273</v>
      </c>
      <c r="AK171" s="326">
        <f t="shared" si="345"/>
        <v>1107971</v>
      </c>
      <c r="AL171" s="326">
        <f t="shared" si="345"/>
        <v>151796</v>
      </c>
      <c r="AM171" s="326">
        <f t="shared" si="345"/>
        <v>235286</v>
      </c>
      <c r="AN171" s="326">
        <f t="shared" si="345"/>
        <v>190012</v>
      </c>
      <c r="AO171" s="326">
        <f t="shared" si="345"/>
        <v>179354</v>
      </c>
      <c r="AP171" s="326">
        <f t="shared" si="345"/>
        <v>168935</v>
      </c>
      <c r="AQ171" s="79"/>
      <c r="AR171" s="326">
        <f t="shared" ref="AR171" si="346">+AR169+AR156</f>
        <v>3448789.05</v>
      </c>
      <c r="AS171" s="326">
        <f t="shared" ref="AS171:BD171" si="347">+AS169+AS156</f>
        <v>184127</v>
      </c>
      <c r="AT171" s="326">
        <f t="shared" si="347"/>
        <v>194843</v>
      </c>
      <c r="AU171" s="326">
        <f t="shared" si="347"/>
        <v>136858</v>
      </c>
      <c r="AV171" s="326">
        <f t="shared" si="347"/>
        <v>155028</v>
      </c>
      <c r="AW171" s="326">
        <f t="shared" si="347"/>
        <v>136830</v>
      </c>
      <c r="AX171" s="326">
        <f t="shared" si="347"/>
        <v>342290</v>
      </c>
      <c r="AY171" s="326">
        <f t="shared" si="347"/>
        <v>145949</v>
      </c>
      <c r="AZ171" s="326">
        <f t="shared" si="347"/>
        <v>135282</v>
      </c>
      <c r="BA171" s="326">
        <f t="shared" si="347"/>
        <v>1170871.27</v>
      </c>
      <c r="BB171" s="326">
        <f t="shared" si="347"/>
        <v>198914</v>
      </c>
      <c r="BC171" s="326">
        <f t="shared" si="347"/>
        <v>502060.78</v>
      </c>
      <c r="BD171" s="326">
        <f t="shared" si="347"/>
        <v>145736</v>
      </c>
      <c r="BE171" s="97"/>
      <c r="BF171" s="326">
        <f t="shared" ref="BF171:BR171" si="348">+BF169+BF156</f>
        <v>0</v>
      </c>
      <c r="BG171" s="326">
        <f t="shared" si="348"/>
        <v>0</v>
      </c>
      <c r="BH171" s="326">
        <f t="shared" si="348"/>
        <v>0</v>
      </c>
      <c r="BI171" s="326">
        <f t="shared" si="348"/>
        <v>0</v>
      </c>
      <c r="BJ171" s="326">
        <f t="shared" si="348"/>
        <v>533.59</v>
      </c>
      <c r="BK171" s="326">
        <f t="shared" si="348"/>
        <v>0</v>
      </c>
      <c r="BL171" s="326">
        <f t="shared" si="348"/>
        <v>0</v>
      </c>
      <c r="BM171" s="326">
        <f t="shared" si="348"/>
        <v>0</v>
      </c>
      <c r="BN171" s="326">
        <f t="shared" si="348"/>
        <v>0</v>
      </c>
      <c r="BO171" s="326">
        <f t="shared" si="348"/>
        <v>0</v>
      </c>
      <c r="BP171" s="326">
        <f t="shared" si="348"/>
        <v>0</v>
      </c>
      <c r="BQ171" s="326">
        <f t="shared" si="348"/>
        <v>0</v>
      </c>
      <c r="BR171" s="326">
        <f t="shared" si="348"/>
        <v>0</v>
      </c>
      <c r="BS171" s="97"/>
      <c r="BT171" s="326">
        <f t="shared" ref="BT171:BZ171" si="349">+BT169+BT156</f>
        <v>0</v>
      </c>
      <c r="BU171" s="326">
        <f t="shared" si="349"/>
        <v>0</v>
      </c>
      <c r="BV171" s="326">
        <f t="shared" si="349"/>
        <v>0</v>
      </c>
      <c r="BW171" s="326">
        <f t="shared" si="349"/>
        <v>0</v>
      </c>
      <c r="BX171" s="326">
        <f t="shared" si="349"/>
        <v>0</v>
      </c>
      <c r="BY171" s="326">
        <f t="shared" si="349"/>
        <v>0</v>
      </c>
      <c r="BZ171" s="326">
        <f t="shared" si="349"/>
        <v>0</v>
      </c>
      <c r="CA171" s="105"/>
      <c r="CB171" s="326">
        <f>+CB169+CB156</f>
        <v>0</v>
      </c>
    </row>
    <row r="172" spans="1:83" ht="13.5" thickTop="1" thickBot="1">
      <c r="A172" s="88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88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88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88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F172" s="100"/>
      <c r="BG172" s="100"/>
      <c r="BH172" s="100"/>
      <c r="BI172" s="100"/>
      <c r="BJ172" s="100"/>
      <c r="BK172" s="100"/>
      <c r="BL172" s="100"/>
      <c r="BM172" s="100"/>
      <c r="BN172" s="100"/>
      <c r="BO172" s="100"/>
      <c r="BP172" s="100"/>
      <c r="BQ172" s="100"/>
      <c r="BR172" s="100"/>
      <c r="BT172" s="100"/>
      <c r="BU172" s="100"/>
      <c r="BV172" s="100"/>
      <c r="BW172" s="100"/>
      <c r="BX172" s="100"/>
      <c r="BY172" s="100"/>
      <c r="BZ172" s="100"/>
      <c r="CB172" s="100"/>
      <c r="CC172" s="131"/>
      <c r="CD172" s="70"/>
      <c r="CE172" s="131"/>
    </row>
    <row r="173" spans="1:83" ht="13.5" thickTop="1" thickBot="1">
      <c r="A173" s="70" t="s">
        <v>152</v>
      </c>
      <c r="B173" s="114">
        <f t="shared" ref="B173:K173" si="350">+B152+B171</f>
        <v>53515764</v>
      </c>
      <c r="C173" s="114">
        <f t="shared" ref="C173:D173" si="351">+C152+C171</f>
        <v>0</v>
      </c>
      <c r="D173" s="114">
        <f t="shared" si="351"/>
        <v>0</v>
      </c>
      <c r="E173" s="114">
        <f t="shared" si="350"/>
        <v>0</v>
      </c>
      <c r="F173" s="114">
        <f t="shared" ref="F173:G173" si="352">+F152+F171</f>
        <v>0</v>
      </c>
      <c r="G173" s="114">
        <f t="shared" si="352"/>
        <v>0</v>
      </c>
      <c r="H173" s="114">
        <f t="shared" si="350"/>
        <v>0</v>
      </c>
      <c r="I173" s="114">
        <f t="shared" ref="I173:J173" si="353">+I152+I171</f>
        <v>0</v>
      </c>
      <c r="J173" s="114">
        <f t="shared" si="353"/>
        <v>0</v>
      </c>
      <c r="K173" s="114">
        <f t="shared" si="350"/>
        <v>0</v>
      </c>
      <c r="L173" s="114">
        <f t="shared" ref="L173:M173" si="354">+L152+L171</f>
        <v>0</v>
      </c>
      <c r="M173" s="114">
        <f t="shared" si="354"/>
        <v>0</v>
      </c>
      <c r="N173" s="114">
        <f>+N152+N171</f>
        <v>52769764</v>
      </c>
      <c r="O173" s="70"/>
      <c r="P173" s="114">
        <f t="shared" ref="P173:AB173" si="355">+P152+P171</f>
        <v>321205729.83999997</v>
      </c>
      <c r="Q173" s="114">
        <f t="shared" ref="Q173" si="356">+Q152+Q171</f>
        <v>32000694</v>
      </c>
      <c r="R173" s="114">
        <f t="shared" si="355"/>
        <v>30438588</v>
      </c>
      <c r="S173" s="114">
        <f t="shared" ref="S173:T173" si="357">+S152+S171</f>
        <v>28798362</v>
      </c>
      <c r="T173" s="114">
        <f t="shared" si="357"/>
        <v>26725852</v>
      </c>
      <c r="U173" s="114">
        <f t="shared" si="355"/>
        <v>26768433.329999998</v>
      </c>
      <c r="V173" s="114">
        <f t="shared" ref="V173:W173" si="358">+V152+V171</f>
        <v>27973968</v>
      </c>
      <c r="W173" s="114">
        <f t="shared" si="358"/>
        <v>27434956</v>
      </c>
      <c r="X173" s="114">
        <f t="shared" si="355"/>
        <v>28129453</v>
      </c>
      <c r="Y173" s="114">
        <f t="shared" si="355"/>
        <v>28123918</v>
      </c>
      <c r="Z173" s="114">
        <f t="shared" si="355"/>
        <v>26244727.510000002</v>
      </c>
      <c r="AA173" s="114">
        <f t="shared" si="355"/>
        <v>30879375</v>
      </c>
      <c r="AB173" s="114">
        <f t="shared" si="355"/>
        <v>7687403</v>
      </c>
      <c r="AC173" s="70"/>
      <c r="AD173" s="114">
        <f>+AD152+AD171</f>
        <v>82970857.819999993</v>
      </c>
      <c r="AE173" s="114">
        <f t="shared" ref="AE173:AP173" si="359">+AE152+AE171</f>
        <v>4500592</v>
      </c>
      <c r="AF173" s="114">
        <f t="shared" si="359"/>
        <v>4565015</v>
      </c>
      <c r="AG173" s="114">
        <f t="shared" si="359"/>
        <v>4806138</v>
      </c>
      <c r="AH173" s="114">
        <f t="shared" si="359"/>
        <v>6474214</v>
      </c>
      <c r="AI173" s="114">
        <f t="shared" si="359"/>
        <v>6496750</v>
      </c>
      <c r="AJ173" s="114">
        <f t="shared" si="359"/>
        <v>6571452.1600000001</v>
      </c>
      <c r="AK173" s="114">
        <f>+AK152+AK171</f>
        <v>7652764</v>
      </c>
      <c r="AL173" s="114">
        <f t="shared" si="359"/>
        <v>8510105.6600000001</v>
      </c>
      <c r="AM173" s="114">
        <f>+AM152+AM171</f>
        <v>9031298</v>
      </c>
      <c r="AN173" s="114">
        <f>+AN152+AN171</f>
        <v>9279024</v>
      </c>
      <c r="AO173" s="114">
        <f t="shared" si="359"/>
        <v>8593494</v>
      </c>
      <c r="AP173" s="114">
        <f t="shared" si="359"/>
        <v>6490011</v>
      </c>
      <c r="AQ173" s="70"/>
      <c r="AR173" s="114">
        <f>+AR152+AR156</f>
        <v>93845675.359999999</v>
      </c>
      <c r="AS173" s="114">
        <f t="shared" ref="AS173:BD173" si="360">+AS152+AS171</f>
        <v>9146944</v>
      </c>
      <c r="AT173" s="114">
        <f t="shared" si="360"/>
        <v>6924893.0800000001</v>
      </c>
      <c r="AU173" s="114">
        <f t="shared" si="360"/>
        <v>6686399</v>
      </c>
      <c r="AV173" s="114">
        <f t="shared" si="360"/>
        <v>5825978</v>
      </c>
      <c r="AW173" s="114">
        <f t="shared" si="360"/>
        <v>6838725.1400000006</v>
      </c>
      <c r="AX173" s="114">
        <f t="shared" si="360"/>
        <v>7167534</v>
      </c>
      <c r="AY173" s="114">
        <f t="shared" si="360"/>
        <v>7311640</v>
      </c>
      <c r="AZ173" s="114">
        <f t="shared" si="360"/>
        <v>6703832</v>
      </c>
      <c r="BA173" s="114">
        <f t="shared" si="360"/>
        <v>7614433.2699999996</v>
      </c>
      <c r="BB173" s="114">
        <f t="shared" si="360"/>
        <v>13073647.09</v>
      </c>
      <c r="BC173" s="114">
        <f t="shared" si="360"/>
        <v>7089209.7800000003</v>
      </c>
      <c r="BD173" s="114">
        <f t="shared" si="360"/>
        <v>9462440</v>
      </c>
      <c r="BE173" s="95"/>
      <c r="BF173" s="114">
        <f>+BF152+BF156</f>
        <v>47493788.506479949</v>
      </c>
      <c r="BG173" s="114">
        <f t="shared" ref="BG173:BR173" si="361">+BG152+BG171</f>
        <v>2092608.416176667</v>
      </c>
      <c r="BH173" s="114">
        <f t="shared" si="361"/>
        <v>7324177.4512000009</v>
      </c>
      <c r="BI173" s="114">
        <f t="shared" si="361"/>
        <v>9161628.4512000009</v>
      </c>
      <c r="BJ173" s="114">
        <f t="shared" si="361"/>
        <v>8825327.3117800001</v>
      </c>
      <c r="BK173" s="114">
        <f t="shared" si="361"/>
        <v>5434083.6812199997</v>
      </c>
      <c r="BL173" s="114">
        <f t="shared" si="361"/>
        <v>861300.54799999995</v>
      </c>
      <c r="BM173" s="114">
        <f t="shared" si="361"/>
        <v>166055</v>
      </c>
      <c r="BN173" s="114">
        <f t="shared" si="361"/>
        <v>233225</v>
      </c>
      <c r="BO173" s="114">
        <f t="shared" si="361"/>
        <v>166055</v>
      </c>
      <c r="BP173" s="114">
        <f t="shared" si="361"/>
        <v>240189</v>
      </c>
      <c r="BQ173" s="114">
        <f t="shared" si="361"/>
        <v>515376</v>
      </c>
      <c r="BR173" s="75">
        <f t="shared" si="361"/>
        <v>3228028.44</v>
      </c>
      <c r="BS173" s="95"/>
      <c r="BT173" s="114">
        <f>+BT152+BT156</f>
        <v>17377485</v>
      </c>
      <c r="BU173" s="114" t="e">
        <f t="shared" ref="BU173:BZ173" si="362">+BU152+BU171</f>
        <v>#REF!</v>
      </c>
      <c r="BV173" s="114" t="e">
        <f t="shared" si="362"/>
        <v>#REF!</v>
      </c>
      <c r="BW173" s="114" t="e">
        <f t="shared" si="362"/>
        <v>#REF!</v>
      </c>
      <c r="BX173" s="114" t="e">
        <f t="shared" si="362"/>
        <v>#REF!</v>
      </c>
      <c r="BY173" s="114" t="e">
        <f t="shared" si="362"/>
        <v>#REF!</v>
      </c>
      <c r="BZ173" s="114" t="e">
        <f t="shared" si="362"/>
        <v>#REF!</v>
      </c>
      <c r="CA173" s="95"/>
      <c r="CB173" s="75" t="e">
        <f>+CB152+CB171</f>
        <v>#REF!</v>
      </c>
    </row>
    <row r="174" spans="1:83" ht="13.5" thickTop="1" thickBot="1">
      <c r="A174" s="70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70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70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70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  <c r="BT174" s="87"/>
      <c r="BU174" s="87"/>
      <c r="BV174" s="87"/>
      <c r="BW174" s="87"/>
      <c r="BX174" s="87"/>
      <c r="BY174" s="87"/>
      <c r="BZ174" s="87"/>
      <c r="CA174" s="87"/>
      <c r="CB174" s="87"/>
      <c r="CC174" s="132"/>
    </row>
    <row r="175" spans="1:83" ht="13.5" thickTop="1" thickBot="1">
      <c r="A175" s="120" t="s">
        <v>153</v>
      </c>
      <c r="B175" s="104">
        <f t="shared" ref="B175:N175" si="363">+B44-B173</f>
        <v>-8492505</v>
      </c>
      <c r="C175" s="104">
        <f t="shared" ref="C175:D175" si="364">+C44-C173</f>
        <v>0</v>
      </c>
      <c r="D175" s="104">
        <f t="shared" si="364"/>
        <v>0</v>
      </c>
      <c r="E175" s="104">
        <f t="shared" si="363"/>
        <v>0</v>
      </c>
      <c r="F175" s="104">
        <f t="shared" ref="F175:G175" si="365">+F44-F173</f>
        <v>0</v>
      </c>
      <c r="G175" s="104">
        <f t="shared" si="365"/>
        <v>0</v>
      </c>
      <c r="H175" s="104">
        <f t="shared" si="363"/>
        <v>0</v>
      </c>
      <c r="I175" s="104">
        <f t="shared" ref="I175:J175" si="366">+I44-I173</f>
        <v>0</v>
      </c>
      <c r="J175" s="104">
        <f t="shared" si="366"/>
        <v>0</v>
      </c>
      <c r="K175" s="104">
        <f t="shared" si="363"/>
        <v>0</v>
      </c>
      <c r="L175" s="104">
        <f t="shared" ref="L175:M175" si="367">+L44-L173</f>
        <v>0</v>
      </c>
      <c r="M175" s="104">
        <f t="shared" si="367"/>
        <v>0</v>
      </c>
      <c r="N175" s="104">
        <f t="shared" si="363"/>
        <v>-7746505</v>
      </c>
      <c r="O175" s="126"/>
      <c r="P175" s="104">
        <f t="shared" ref="P175:AB175" si="368">+P44-P173</f>
        <v>49119433.910000026</v>
      </c>
      <c r="Q175" s="104">
        <f t="shared" ref="Q175" si="369">+Q44-Q173</f>
        <v>9397775</v>
      </c>
      <c r="R175" s="104">
        <f t="shared" si="368"/>
        <v>11579881</v>
      </c>
      <c r="S175" s="104">
        <f t="shared" ref="S175:T175" si="370">+S44-S173</f>
        <v>14856509</v>
      </c>
      <c r="T175" s="104">
        <f t="shared" si="370"/>
        <v>16232617</v>
      </c>
      <c r="U175" s="104">
        <f t="shared" si="368"/>
        <v>4250035.6700000018</v>
      </c>
      <c r="V175" s="104">
        <f t="shared" ref="V175:W175" si="371">+V44-V173</f>
        <v>1204501</v>
      </c>
      <c r="W175" s="104">
        <f t="shared" si="371"/>
        <v>1363513</v>
      </c>
      <c r="X175" s="104">
        <f t="shared" si="368"/>
        <v>-1514535</v>
      </c>
      <c r="Y175" s="104">
        <f t="shared" si="368"/>
        <v>-667136</v>
      </c>
      <c r="Z175" s="104">
        <f t="shared" si="368"/>
        <v>3303741.4899999984</v>
      </c>
      <c r="AA175" s="104">
        <f t="shared" si="368"/>
        <v>-4710906</v>
      </c>
      <c r="AB175" s="104">
        <f t="shared" si="368"/>
        <v>-6176562.25</v>
      </c>
      <c r="AC175" s="126"/>
      <c r="AD175" s="104">
        <f>+AD44-AD173</f>
        <v>12640911.180000007</v>
      </c>
      <c r="AE175" s="104">
        <f t="shared" ref="AE175:AP175" si="372">+AE44-AE173</f>
        <v>2410046</v>
      </c>
      <c r="AF175" s="104">
        <f t="shared" si="372"/>
        <v>2744572</v>
      </c>
      <c r="AG175" s="104">
        <f t="shared" si="372"/>
        <v>2103862</v>
      </c>
      <c r="AH175" s="104">
        <f t="shared" si="372"/>
        <v>436665</v>
      </c>
      <c r="AI175" s="104">
        <f t="shared" si="372"/>
        <v>1413250</v>
      </c>
      <c r="AJ175" s="104">
        <f t="shared" si="372"/>
        <v>2698547.84</v>
      </c>
      <c r="AK175" s="104">
        <f t="shared" si="372"/>
        <v>-632395</v>
      </c>
      <c r="AL175" s="104">
        <f t="shared" si="372"/>
        <v>1230190.3399999999</v>
      </c>
      <c r="AM175" s="104">
        <f t="shared" si="372"/>
        <v>-2011298</v>
      </c>
      <c r="AN175" s="104">
        <f t="shared" si="372"/>
        <v>1540976</v>
      </c>
      <c r="AO175" s="104">
        <f t="shared" si="372"/>
        <v>-1033494</v>
      </c>
      <c r="AP175" s="104">
        <f t="shared" si="372"/>
        <v>1739989</v>
      </c>
      <c r="AQ175" s="126"/>
      <c r="AR175" s="104">
        <f>+AR44-AR173</f>
        <v>8967538.6400000006</v>
      </c>
      <c r="AS175" s="104">
        <f t="shared" ref="AS175:BD175" si="373">+AS44-AS173</f>
        <v>-961521</v>
      </c>
      <c r="AT175" s="104">
        <f t="shared" si="373"/>
        <v>1260529.92</v>
      </c>
      <c r="AU175" s="104">
        <f t="shared" si="373"/>
        <v>5073601</v>
      </c>
      <c r="AV175" s="104">
        <f t="shared" si="373"/>
        <v>-3465978</v>
      </c>
      <c r="AW175" s="104">
        <f t="shared" si="373"/>
        <v>-948725.1400000006</v>
      </c>
      <c r="AX175" s="104">
        <f t="shared" si="373"/>
        <v>-807334</v>
      </c>
      <c r="AY175" s="104">
        <f t="shared" si="373"/>
        <v>-231640</v>
      </c>
      <c r="AZ175" s="104">
        <f t="shared" si="373"/>
        <v>35236168</v>
      </c>
      <c r="BA175" s="104">
        <f t="shared" si="373"/>
        <v>-3102433.2699999996</v>
      </c>
      <c r="BB175" s="104">
        <f t="shared" si="373"/>
        <v>-11553647.09</v>
      </c>
      <c r="BC175" s="104">
        <f t="shared" si="373"/>
        <v>-5009209.78</v>
      </c>
      <c r="BD175" s="104">
        <f t="shared" si="373"/>
        <v>-6522272</v>
      </c>
      <c r="BE175" s="105"/>
      <c r="BF175" s="104">
        <f t="shared" ref="BF175:BR175" si="374">+BF44-BF173</f>
        <v>290436.49352005124</v>
      </c>
      <c r="BG175" s="80">
        <f t="shared" si="374"/>
        <v>4547559.5838233326</v>
      </c>
      <c r="BH175" s="80">
        <f t="shared" si="374"/>
        <v>-5354177.4512000009</v>
      </c>
      <c r="BI175" s="80">
        <f t="shared" si="374"/>
        <v>-5366628.4512000009</v>
      </c>
      <c r="BJ175" s="80">
        <f t="shared" si="374"/>
        <v>9843075.6882199999</v>
      </c>
      <c r="BK175" s="80">
        <f t="shared" si="374"/>
        <v>6161651.3187800003</v>
      </c>
      <c r="BL175" s="80">
        <f t="shared" si="374"/>
        <v>-861300.54799999995</v>
      </c>
      <c r="BM175" s="80">
        <f t="shared" si="374"/>
        <v>-166055</v>
      </c>
      <c r="BN175" s="80">
        <f t="shared" si="374"/>
        <v>-233225</v>
      </c>
      <c r="BO175" s="80">
        <f t="shared" si="374"/>
        <v>338745</v>
      </c>
      <c r="BP175" s="80">
        <f t="shared" si="374"/>
        <v>2369930</v>
      </c>
      <c r="BQ175" s="80">
        <f t="shared" si="374"/>
        <v>484624</v>
      </c>
      <c r="BR175" s="104">
        <f t="shared" si="374"/>
        <v>-2228028.44</v>
      </c>
      <c r="BS175" s="105"/>
      <c r="BT175" s="104">
        <f t="shared" ref="BT175:BZ175" si="375">+BT44-BT173</f>
        <v>1066515</v>
      </c>
      <c r="BU175" s="80" t="e">
        <f t="shared" si="375"/>
        <v>#REF!</v>
      </c>
      <c r="BV175" s="80" t="e">
        <f t="shared" si="375"/>
        <v>#REF!</v>
      </c>
      <c r="BW175" s="80" t="e">
        <f t="shared" si="375"/>
        <v>#REF!</v>
      </c>
      <c r="BX175" s="80" t="e">
        <f t="shared" si="375"/>
        <v>#REF!</v>
      </c>
      <c r="BY175" s="80" t="e">
        <f t="shared" si="375"/>
        <v>#REF!</v>
      </c>
      <c r="BZ175" s="80" t="e">
        <f t="shared" si="375"/>
        <v>#REF!</v>
      </c>
      <c r="CA175" s="105"/>
      <c r="CB175" s="104" t="e">
        <f>+CB44-CB173</f>
        <v>#REF!</v>
      </c>
      <c r="CC175" s="133"/>
    </row>
    <row r="176" spans="1:83" ht="13.5" thickTop="1" thickBot="1">
      <c r="AR176" s="65"/>
      <c r="CC176" s="132"/>
    </row>
    <row r="177" spans="1:81" ht="13.5" thickTop="1" thickBot="1">
      <c r="A177" s="127" t="s">
        <v>341</v>
      </c>
      <c r="B177" s="76">
        <f t="shared" ref="B177:K177" si="376">+B175*35%</f>
        <v>-2972376.75</v>
      </c>
      <c r="C177" s="76">
        <f t="shared" ref="C177:D177" si="377">+C175*35%</f>
        <v>0</v>
      </c>
      <c r="D177" s="76">
        <f t="shared" si="377"/>
        <v>0</v>
      </c>
      <c r="E177" s="76">
        <f t="shared" si="376"/>
        <v>0</v>
      </c>
      <c r="F177" s="76">
        <f t="shared" ref="F177:G177" si="378">+F175*35%</f>
        <v>0</v>
      </c>
      <c r="G177" s="76">
        <f t="shared" si="378"/>
        <v>0</v>
      </c>
      <c r="H177" s="76">
        <f t="shared" si="376"/>
        <v>0</v>
      </c>
      <c r="I177" s="76">
        <f t="shared" ref="I177:J177" si="379">+I175*35%</f>
        <v>0</v>
      </c>
      <c r="J177" s="76">
        <f t="shared" si="379"/>
        <v>0</v>
      </c>
      <c r="K177" s="76">
        <f t="shared" si="376"/>
        <v>0</v>
      </c>
      <c r="L177" s="76">
        <f t="shared" ref="L177:M177" si="380">+L175*35%</f>
        <v>0</v>
      </c>
      <c r="M177" s="76">
        <f t="shared" si="380"/>
        <v>0</v>
      </c>
      <c r="N177" s="76">
        <v>0</v>
      </c>
      <c r="O177" s="127"/>
      <c r="P177" s="76">
        <f t="shared" ref="P177:AB177" si="381">+P175*35%</f>
        <v>17191801.868500009</v>
      </c>
      <c r="Q177" s="76">
        <f t="shared" si="381"/>
        <v>3289221.25</v>
      </c>
      <c r="R177" s="76">
        <f t="shared" si="381"/>
        <v>4052958.3499999996</v>
      </c>
      <c r="S177" s="76">
        <f t="shared" si="381"/>
        <v>5199778.1499999994</v>
      </c>
      <c r="T177" s="76">
        <f t="shared" si="381"/>
        <v>5681415.9499999993</v>
      </c>
      <c r="U177" s="76">
        <f t="shared" si="381"/>
        <v>1487512.4845000005</v>
      </c>
      <c r="V177" s="76">
        <f t="shared" si="381"/>
        <v>421575.35</v>
      </c>
      <c r="W177" s="76">
        <f t="shared" si="381"/>
        <v>477229.55</v>
      </c>
      <c r="X177" s="76">
        <f t="shared" si="381"/>
        <v>-530087.25</v>
      </c>
      <c r="Y177" s="76">
        <f t="shared" si="381"/>
        <v>-233497.59999999998</v>
      </c>
      <c r="Z177" s="76">
        <f t="shared" si="381"/>
        <v>1156309.5214999993</v>
      </c>
      <c r="AA177" s="76">
        <f t="shared" si="381"/>
        <v>-1648817.0999999999</v>
      </c>
      <c r="AB177" s="76">
        <f t="shared" si="381"/>
        <v>-2161796.7875000001</v>
      </c>
      <c r="AC177" s="127"/>
      <c r="AD177" s="76">
        <f t="shared" ref="AD177:AO177" si="382">+AD175*35%</f>
        <v>4424318.9130000025</v>
      </c>
      <c r="AE177" s="76">
        <f t="shared" si="382"/>
        <v>843516.1</v>
      </c>
      <c r="AF177" s="76">
        <f t="shared" si="382"/>
        <v>960600.2</v>
      </c>
      <c r="AG177" s="76">
        <f t="shared" si="382"/>
        <v>736351.7</v>
      </c>
      <c r="AH177" s="76">
        <f t="shared" si="382"/>
        <v>152832.75</v>
      </c>
      <c r="AI177" s="76">
        <f t="shared" si="382"/>
        <v>494637.49999999994</v>
      </c>
      <c r="AJ177" s="76">
        <f t="shared" si="382"/>
        <v>944491.74399999983</v>
      </c>
      <c r="AK177" s="76">
        <f t="shared" si="382"/>
        <v>-221338.25</v>
      </c>
      <c r="AL177" s="76">
        <f t="shared" si="382"/>
        <v>430566.61899999995</v>
      </c>
      <c r="AM177" s="76">
        <f t="shared" si="382"/>
        <v>-703954.29999999993</v>
      </c>
      <c r="AN177" s="76">
        <f t="shared" si="382"/>
        <v>539341.6</v>
      </c>
      <c r="AO177" s="76">
        <f t="shared" si="382"/>
        <v>-361722.89999999997</v>
      </c>
      <c r="AP177" s="76">
        <f>+AP175*35%</f>
        <v>608996.14999999991</v>
      </c>
      <c r="AQ177" s="127"/>
      <c r="AR177" s="76">
        <f>+AR175*35%</f>
        <v>3138638.5240000002</v>
      </c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94"/>
      <c r="BF177" s="76">
        <v>0</v>
      </c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94"/>
      <c r="BT177" s="76">
        <v>0</v>
      </c>
      <c r="BU177" s="76">
        <v>0</v>
      </c>
      <c r="BV177" s="76" t="e">
        <f t="shared" ref="BV177:BW177" si="383">+BV175*32%</f>
        <v>#REF!</v>
      </c>
      <c r="BW177" s="76" t="e">
        <f t="shared" si="383"/>
        <v>#REF!</v>
      </c>
      <c r="BX177" s="76" t="e">
        <f t="shared" ref="BX177:BZ177" si="384">+BX175*32%</f>
        <v>#REF!</v>
      </c>
      <c r="BY177" s="76" t="e">
        <f t="shared" si="384"/>
        <v>#REF!</v>
      </c>
      <c r="BZ177" s="76" t="e">
        <f t="shared" si="384"/>
        <v>#REF!</v>
      </c>
      <c r="CA177" s="94"/>
      <c r="CB177" s="76" t="e">
        <f>+CB175*32%</f>
        <v>#REF!</v>
      </c>
    </row>
    <row r="178" spans="1:81" ht="13.5" thickTop="1" thickBot="1">
      <c r="AR178" s="65"/>
      <c r="CC178" s="122"/>
    </row>
    <row r="179" spans="1:81" ht="13.5" thickTop="1" thickBot="1">
      <c r="A179" s="120" t="s">
        <v>342</v>
      </c>
      <c r="B179" s="121">
        <f t="shared" ref="B179:N179" si="385">+B44-B173-B177</f>
        <v>-5520128.25</v>
      </c>
      <c r="C179" s="121">
        <f t="shared" ref="C179:D179" si="386">+C44-C173-C177</f>
        <v>0</v>
      </c>
      <c r="D179" s="121">
        <f t="shared" si="386"/>
        <v>0</v>
      </c>
      <c r="E179" s="121">
        <f t="shared" si="385"/>
        <v>0</v>
      </c>
      <c r="F179" s="121">
        <f t="shared" ref="F179:G179" si="387">+F44-F173-F177</f>
        <v>0</v>
      </c>
      <c r="G179" s="121">
        <f t="shared" si="387"/>
        <v>0</v>
      </c>
      <c r="H179" s="121">
        <f t="shared" si="385"/>
        <v>0</v>
      </c>
      <c r="I179" s="121">
        <f t="shared" ref="I179:J179" si="388">+I44-I173-I177</f>
        <v>0</v>
      </c>
      <c r="J179" s="121">
        <f t="shared" si="388"/>
        <v>0</v>
      </c>
      <c r="K179" s="121">
        <f t="shared" si="385"/>
        <v>0</v>
      </c>
      <c r="L179" s="121">
        <f t="shared" ref="L179:M179" si="389">+L44-L173-L177</f>
        <v>0</v>
      </c>
      <c r="M179" s="121">
        <f t="shared" si="389"/>
        <v>0</v>
      </c>
      <c r="N179" s="121">
        <f t="shared" si="385"/>
        <v>-7746505</v>
      </c>
      <c r="O179" s="128"/>
      <c r="P179" s="121">
        <f t="shared" ref="P179:AB179" si="390">+P44-P173-P177</f>
        <v>31927632.041500017</v>
      </c>
      <c r="Q179" s="121">
        <f t="shared" ref="Q179" si="391">+Q44-Q173-Q177</f>
        <v>6108553.75</v>
      </c>
      <c r="R179" s="121">
        <f t="shared" si="390"/>
        <v>7526922.6500000004</v>
      </c>
      <c r="S179" s="121">
        <f t="shared" ref="S179:T179" si="392">+S44-S173-S177</f>
        <v>9656730.8500000015</v>
      </c>
      <c r="T179" s="121">
        <f t="shared" si="392"/>
        <v>10551201.050000001</v>
      </c>
      <c r="U179" s="121">
        <f t="shared" si="390"/>
        <v>2762523.1855000015</v>
      </c>
      <c r="V179" s="121">
        <f t="shared" ref="V179:W179" si="393">+V44-V173-V177</f>
        <v>782925.65</v>
      </c>
      <c r="W179" s="121">
        <f t="shared" si="393"/>
        <v>886283.45</v>
      </c>
      <c r="X179" s="121">
        <f t="shared" si="390"/>
        <v>-984447.75</v>
      </c>
      <c r="Y179" s="121">
        <f t="shared" si="390"/>
        <v>-433638.40000000002</v>
      </c>
      <c r="Z179" s="121">
        <f t="shared" si="390"/>
        <v>2147431.968499999</v>
      </c>
      <c r="AA179" s="121">
        <f t="shared" si="390"/>
        <v>-3062088.9000000004</v>
      </c>
      <c r="AB179" s="121">
        <f t="shared" si="390"/>
        <v>-4014765.4624999999</v>
      </c>
      <c r="AC179" s="128"/>
      <c r="AD179" s="121">
        <f>+AD44-AD173-AD177</f>
        <v>8216592.2670000046</v>
      </c>
      <c r="AE179" s="121">
        <f t="shared" ref="AE179:AP179" si="394">+AE44-AE173</f>
        <v>2410046</v>
      </c>
      <c r="AF179" s="121">
        <f t="shared" si="394"/>
        <v>2744572</v>
      </c>
      <c r="AG179" s="121">
        <f t="shared" si="394"/>
        <v>2103862</v>
      </c>
      <c r="AH179" s="121">
        <f t="shared" si="394"/>
        <v>436665</v>
      </c>
      <c r="AI179" s="121">
        <f t="shared" si="394"/>
        <v>1413250</v>
      </c>
      <c r="AJ179" s="121">
        <f t="shared" si="394"/>
        <v>2698547.84</v>
      </c>
      <c r="AK179" s="121">
        <f t="shared" si="394"/>
        <v>-632395</v>
      </c>
      <c r="AL179" s="121">
        <f t="shared" si="394"/>
        <v>1230190.3399999999</v>
      </c>
      <c r="AM179" s="121">
        <f t="shared" si="394"/>
        <v>-2011298</v>
      </c>
      <c r="AN179" s="121">
        <f t="shared" si="394"/>
        <v>1540976</v>
      </c>
      <c r="AO179" s="121">
        <f t="shared" si="394"/>
        <v>-1033494</v>
      </c>
      <c r="AP179" s="121">
        <f t="shared" si="394"/>
        <v>1739989</v>
      </c>
      <c r="AQ179" s="128"/>
      <c r="AR179" s="121">
        <f>+AR44-AR173-AR177</f>
        <v>5828900.1160000004</v>
      </c>
      <c r="AS179" s="121">
        <f t="shared" ref="AS179:BD179" si="395">+AS44-AS173</f>
        <v>-961521</v>
      </c>
      <c r="AT179" s="121">
        <f t="shared" si="395"/>
        <v>1260529.92</v>
      </c>
      <c r="AU179" s="121">
        <f t="shared" si="395"/>
        <v>5073601</v>
      </c>
      <c r="AV179" s="121">
        <f t="shared" si="395"/>
        <v>-3465978</v>
      </c>
      <c r="AW179" s="121">
        <f t="shared" si="395"/>
        <v>-948725.1400000006</v>
      </c>
      <c r="AX179" s="121">
        <f t="shared" si="395"/>
        <v>-807334</v>
      </c>
      <c r="AY179" s="121">
        <f t="shared" si="395"/>
        <v>-231640</v>
      </c>
      <c r="AZ179" s="121">
        <f t="shared" si="395"/>
        <v>35236168</v>
      </c>
      <c r="BA179" s="121">
        <f t="shared" si="395"/>
        <v>-3102433.2699999996</v>
      </c>
      <c r="BB179" s="121">
        <f t="shared" si="395"/>
        <v>-11553647.09</v>
      </c>
      <c r="BC179" s="121">
        <f t="shared" si="395"/>
        <v>-5009209.78</v>
      </c>
      <c r="BD179" s="121">
        <f t="shared" si="395"/>
        <v>-6522272</v>
      </c>
      <c r="BE179" s="129"/>
      <c r="BF179" s="121">
        <f>+BF44-BF173</f>
        <v>290436.49352005124</v>
      </c>
      <c r="BG179" s="121">
        <f t="shared" ref="BG179:BJ179" si="396">+BG175-BG177</f>
        <v>4547559.5838233326</v>
      </c>
      <c r="BH179" s="121">
        <f t="shared" si="396"/>
        <v>-5354177.4512000009</v>
      </c>
      <c r="BI179" s="121">
        <f t="shared" si="396"/>
        <v>-5366628.4512000009</v>
      </c>
      <c r="BJ179" s="121">
        <f t="shared" si="396"/>
        <v>9843075.6882199999</v>
      </c>
      <c r="BK179" s="121">
        <f t="shared" ref="BK179:BL179" si="397">+BK175-BK177</f>
        <v>6161651.3187800003</v>
      </c>
      <c r="BL179" s="121">
        <f t="shared" si="397"/>
        <v>-861300.54799999995</v>
      </c>
      <c r="BM179" s="121">
        <f t="shared" ref="BM179:BR179" si="398">+BM175-BM177</f>
        <v>-166055</v>
      </c>
      <c r="BN179" s="121">
        <f t="shared" si="398"/>
        <v>-233225</v>
      </c>
      <c r="BO179" s="121">
        <f t="shared" si="398"/>
        <v>338745</v>
      </c>
      <c r="BP179" s="121">
        <f t="shared" si="398"/>
        <v>2369930</v>
      </c>
      <c r="BQ179" s="121">
        <f t="shared" si="398"/>
        <v>484624</v>
      </c>
      <c r="BR179" s="130">
        <f t="shared" si="398"/>
        <v>-2228028.44</v>
      </c>
      <c r="BS179" s="129"/>
      <c r="BT179" s="121">
        <f>+BT44-BT173</f>
        <v>1066515</v>
      </c>
      <c r="BU179" s="121" t="e">
        <f t="shared" ref="BU179" si="399">+BU175-BU177</f>
        <v>#REF!</v>
      </c>
      <c r="BV179" s="121" t="e">
        <f t="shared" ref="BV179:BW179" si="400">+BV175-BV177</f>
        <v>#REF!</v>
      </c>
      <c r="BW179" s="121" t="e">
        <f t="shared" si="400"/>
        <v>#REF!</v>
      </c>
      <c r="BX179" s="121" t="e">
        <f t="shared" ref="BX179:BZ179" si="401">+BX175-BX177</f>
        <v>#REF!</v>
      </c>
      <c r="BY179" s="121" t="e">
        <f t="shared" si="401"/>
        <v>#REF!</v>
      </c>
      <c r="BZ179" s="130" t="e">
        <f t="shared" si="401"/>
        <v>#REF!</v>
      </c>
      <c r="CA179" s="129"/>
      <c r="CB179" s="130" t="e">
        <f>+CB175-CB177</f>
        <v>#REF!</v>
      </c>
    </row>
    <row r="180" spans="1:81" ht="12.75" thickTop="1"/>
    <row r="181" spans="1:81" s="63" customFormat="1">
      <c r="A181" s="122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2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  <c r="AC181" s="122"/>
      <c r="AD181" s="123"/>
      <c r="AE181" s="123"/>
      <c r="AF181" s="123"/>
      <c r="AG181" s="123"/>
      <c r="AH181" s="123"/>
      <c r="AI181" s="123"/>
      <c r="AJ181" s="123"/>
      <c r="AK181" s="123"/>
      <c r="AL181" s="123"/>
      <c r="AM181" s="123"/>
      <c r="AN181" s="123"/>
      <c r="AO181" s="123"/>
      <c r="AP181" s="123"/>
      <c r="AQ181" s="122"/>
      <c r="AR181" s="122"/>
      <c r="AS181" s="123"/>
      <c r="AT181" s="123"/>
      <c r="AU181" s="123"/>
      <c r="AV181" s="123"/>
      <c r="AW181" s="123"/>
      <c r="AX181" s="123"/>
      <c r="AY181" s="123"/>
      <c r="AZ181" s="123"/>
      <c r="BA181" s="123"/>
      <c r="BB181" s="123"/>
      <c r="BC181" s="123"/>
      <c r="BD181" s="123"/>
      <c r="BE181" s="123"/>
      <c r="BF181" s="123"/>
      <c r="BG181" s="123"/>
      <c r="BH181" s="123"/>
      <c r="BI181" s="123"/>
      <c r="BJ181" s="123"/>
      <c r="BK181" s="123"/>
      <c r="BL181" s="123"/>
      <c r="BM181" s="123"/>
      <c r="BN181" s="123"/>
      <c r="BO181" s="123"/>
      <c r="BP181" s="123"/>
      <c r="BQ181" s="123"/>
      <c r="BR181" s="123"/>
      <c r="BS181" s="123"/>
      <c r="BT181" s="123"/>
      <c r="BU181" s="123"/>
      <c r="BV181" s="123"/>
      <c r="BW181" s="123"/>
      <c r="BX181" s="123"/>
      <c r="BY181" s="123"/>
      <c r="BZ181" s="123"/>
      <c r="CA181" s="123"/>
      <c r="CB181" s="123"/>
    </row>
    <row r="182" spans="1:81" s="63" customFormat="1" ht="12" customHeight="1"/>
    <row r="183" spans="1:81" s="63" customFormat="1">
      <c r="A183" s="523"/>
      <c r="B183" s="523"/>
      <c r="C183" s="523"/>
      <c r="D183" s="523"/>
      <c r="E183" s="523"/>
      <c r="F183" s="523"/>
      <c r="G183" s="523"/>
      <c r="H183" s="523"/>
      <c r="I183" s="523"/>
      <c r="J183" s="523"/>
      <c r="K183" s="523"/>
      <c r="L183" s="523"/>
      <c r="M183" s="523"/>
      <c r="N183" s="523"/>
      <c r="O183" s="523"/>
      <c r="P183" s="523"/>
      <c r="Q183" s="523"/>
      <c r="R183" s="523"/>
      <c r="S183" s="523"/>
      <c r="T183" s="523"/>
      <c r="U183" s="523"/>
      <c r="V183" s="523"/>
      <c r="W183" s="523"/>
      <c r="X183" s="523"/>
      <c r="Y183" s="523"/>
      <c r="Z183" s="523"/>
      <c r="AA183" s="523"/>
      <c r="AB183" s="523"/>
      <c r="AC183" s="523"/>
      <c r="AD183" s="523"/>
      <c r="AE183" s="523"/>
      <c r="AF183" s="523"/>
      <c r="AG183" s="523"/>
      <c r="AH183" s="523"/>
      <c r="AI183" s="523"/>
      <c r="AJ183" s="523"/>
      <c r="AK183" s="523"/>
      <c r="AL183" s="523"/>
      <c r="AM183" s="523"/>
      <c r="AN183" s="523"/>
      <c r="AO183" s="523"/>
      <c r="AP183" s="523"/>
      <c r="AQ183" s="523"/>
      <c r="AR183" s="523"/>
      <c r="AS183" s="523"/>
      <c r="AT183" s="523"/>
      <c r="AU183" s="523"/>
      <c r="AV183" s="523"/>
      <c r="AW183" s="523"/>
      <c r="AX183" s="523"/>
      <c r="AY183" s="523"/>
      <c r="AZ183" s="523"/>
      <c r="BA183" s="523"/>
      <c r="BB183" s="523"/>
      <c r="BC183" s="523"/>
      <c r="BD183" s="523"/>
      <c r="BE183" s="523"/>
      <c r="BF183" s="523"/>
      <c r="BG183" s="523"/>
      <c r="BH183" s="523"/>
      <c r="BI183" s="523"/>
      <c r="BJ183" s="523"/>
      <c r="BK183" s="523"/>
      <c r="BL183" s="523"/>
      <c r="BM183" s="523"/>
      <c r="BN183" s="523"/>
      <c r="BO183" s="523"/>
      <c r="BP183" s="523"/>
      <c r="BQ183" s="523"/>
      <c r="BR183" s="523"/>
      <c r="BS183" s="523"/>
      <c r="BT183" s="523"/>
      <c r="BU183" s="523"/>
      <c r="BV183" s="523"/>
      <c r="BW183" s="523"/>
      <c r="BX183" s="523"/>
      <c r="BY183" s="523"/>
      <c r="BZ183" s="523"/>
      <c r="CA183" s="523"/>
      <c r="CB183" s="523"/>
    </row>
  </sheetData>
  <mergeCells count="5">
    <mergeCell ref="A1:CB1"/>
    <mergeCell ref="A2:CB2"/>
    <mergeCell ref="A3:CB3"/>
    <mergeCell ref="A183:CB183"/>
    <mergeCell ref="A5:A6"/>
  </mergeCells>
  <printOptions horizontalCentered="1"/>
  <pageMargins left="0.196850393700787" right="0.196850393700787" top="0.59055118110236204" bottom="0.196850393700787" header="0" footer="0"/>
  <pageSetup scale="50" orientation="portrait" blackAndWhite="1" r:id="rId1"/>
  <headerFooter differentFirst="1"/>
  <rowBreaks count="1" manualBreakCount="1">
    <brk id="105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2:J18"/>
  <sheetViews>
    <sheetView showGridLines="0" zoomScale="90" zoomScaleNormal="90" workbookViewId="0">
      <selection activeCell="E21" sqref="E21"/>
    </sheetView>
  </sheetViews>
  <sheetFormatPr baseColWidth="10" defaultColWidth="11.42578125" defaultRowHeight="15"/>
  <cols>
    <col min="1" max="1" width="8.5703125" style="343" customWidth="1"/>
    <col min="2" max="2" width="75" style="343" bestFit="1" customWidth="1"/>
    <col min="3" max="6" width="18" style="351" customWidth="1"/>
    <col min="7" max="7" width="19.140625" style="351" customWidth="1"/>
    <col min="8" max="8" width="17.140625" style="351" customWidth="1"/>
    <col min="9" max="10" width="16.7109375" style="351" customWidth="1"/>
    <col min="11" max="16384" width="11.42578125" style="343"/>
  </cols>
  <sheetData>
    <row r="2" spans="2:10">
      <c r="B2" s="531" t="s">
        <v>0</v>
      </c>
      <c r="C2" s="531"/>
      <c r="D2" s="531"/>
      <c r="E2" s="531"/>
      <c r="F2" s="531"/>
      <c r="G2" s="531"/>
      <c r="H2" s="531"/>
      <c r="I2" s="531"/>
      <c r="J2" s="343"/>
    </row>
    <row r="3" spans="2:10">
      <c r="B3" s="530" t="s">
        <v>1</v>
      </c>
      <c r="C3" s="530"/>
      <c r="D3" s="530"/>
      <c r="E3" s="530"/>
      <c r="F3" s="530"/>
      <c r="G3" s="530"/>
      <c r="H3" s="530"/>
      <c r="I3" s="530"/>
      <c r="J3" s="343"/>
    </row>
    <row r="4" spans="2:10">
      <c r="B4" s="525" t="s">
        <v>631</v>
      </c>
      <c r="C4" s="525"/>
      <c r="D4" s="525"/>
      <c r="E4" s="525"/>
      <c r="F4" s="525"/>
      <c r="G4" s="525"/>
      <c r="H4" s="525"/>
      <c r="I4" s="525"/>
      <c r="J4" s="343"/>
    </row>
    <row r="5" spans="2:10" ht="16.5" thickBot="1">
      <c r="B5" s="344"/>
      <c r="C5" s="344"/>
      <c r="D5" s="344"/>
      <c r="E5" s="344"/>
      <c r="F5" s="344"/>
      <c r="G5" s="344"/>
      <c r="H5" s="344"/>
      <c r="I5" s="344"/>
      <c r="J5" s="344"/>
    </row>
    <row r="6" spans="2:10" ht="16.5" thickBot="1">
      <c r="C6" s="526" t="s">
        <v>458</v>
      </c>
      <c r="D6" s="527"/>
      <c r="E6" s="529"/>
      <c r="F6" s="528"/>
      <c r="G6" s="526" t="s">
        <v>391</v>
      </c>
      <c r="H6" s="527"/>
      <c r="I6" s="528"/>
      <c r="J6" s="343"/>
    </row>
    <row r="7" spans="2:10" ht="18" customHeight="1">
      <c r="B7" s="483" t="s">
        <v>392</v>
      </c>
      <c r="C7" s="345" t="s">
        <v>393</v>
      </c>
      <c r="D7" s="345" t="s">
        <v>459</v>
      </c>
      <c r="E7" s="345" t="s">
        <v>637</v>
      </c>
      <c r="F7" s="345" t="s">
        <v>394</v>
      </c>
      <c r="G7" s="484" t="s">
        <v>75</v>
      </c>
      <c r="H7" s="484" t="s">
        <v>459</v>
      </c>
      <c r="I7" s="485" t="s">
        <v>637</v>
      </c>
      <c r="J7" s="485" t="s">
        <v>394</v>
      </c>
    </row>
    <row r="8" spans="2:10">
      <c r="B8" s="346" t="s">
        <v>587</v>
      </c>
      <c r="C8" s="347">
        <v>6820000</v>
      </c>
      <c r="D8" s="347">
        <v>0</v>
      </c>
      <c r="E8" s="347">
        <v>0</v>
      </c>
      <c r="F8" s="347">
        <v>0</v>
      </c>
      <c r="G8" s="347">
        <v>0</v>
      </c>
      <c r="H8" s="347">
        <v>0</v>
      </c>
      <c r="I8" s="347">
        <v>0</v>
      </c>
      <c r="J8" s="347">
        <v>0</v>
      </c>
    </row>
    <row r="9" spans="2:10">
      <c r="B9" s="346" t="s">
        <v>395</v>
      </c>
      <c r="C9" s="347">
        <v>44000000</v>
      </c>
      <c r="D9" s="347">
        <v>1760000</v>
      </c>
      <c r="E9" s="347">
        <v>0</v>
      </c>
      <c r="F9" s="347">
        <v>264000</v>
      </c>
      <c r="G9" s="347">
        <v>0</v>
      </c>
      <c r="H9" s="347">
        <v>0</v>
      </c>
      <c r="I9" s="347">
        <v>0</v>
      </c>
      <c r="J9" s="347">
        <v>0</v>
      </c>
    </row>
    <row r="10" spans="2:10">
      <c r="B10" s="346" t="s">
        <v>396</v>
      </c>
      <c r="C10" s="347">
        <v>1257512</v>
      </c>
      <c r="D10" s="347">
        <v>50302</v>
      </c>
      <c r="E10" s="347">
        <v>0</v>
      </c>
      <c r="F10" s="347">
        <v>0</v>
      </c>
      <c r="G10" s="347">
        <v>0</v>
      </c>
      <c r="H10" s="347">
        <v>0</v>
      </c>
      <c r="I10" s="347">
        <v>0</v>
      </c>
      <c r="J10" s="347">
        <v>0</v>
      </c>
    </row>
    <row r="11" spans="2:10">
      <c r="B11" s="346" t="s">
        <v>397</v>
      </c>
      <c r="C11" s="347">
        <v>1222000</v>
      </c>
      <c r="D11" s="347">
        <v>15900</v>
      </c>
      <c r="E11" s="347">
        <v>0</v>
      </c>
      <c r="F11" s="347">
        <v>0</v>
      </c>
      <c r="G11" s="348">
        <v>0</v>
      </c>
      <c r="H11" s="347">
        <v>0</v>
      </c>
      <c r="I11" s="347">
        <v>0</v>
      </c>
      <c r="J11" s="347">
        <v>0</v>
      </c>
    </row>
    <row r="12" spans="2:10">
      <c r="B12" s="346" t="s">
        <v>632</v>
      </c>
      <c r="C12" s="347">
        <v>308253159</v>
      </c>
      <c r="D12" s="347">
        <v>1713000</v>
      </c>
      <c r="E12" s="347">
        <v>1848000</v>
      </c>
      <c r="F12" s="347">
        <v>0</v>
      </c>
      <c r="G12" s="348">
        <v>42825000</v>
      </c>
      <c r="H12" s="347">
        <v>1713000</v>
      </c>
      <c r="I12" s="347">
        <v>1848000</v>
      </c>
      <c r="J12" s="347">
        <v>0</v>
      </c>
    </row>
    <row r="13" spans="2:10">
      <c r="B13" s="346" t="s">
        <v>633</v>
      </c>
      <c r="C13" s="347">
        <v>800000</v>
      </c>
      <c r="D13" s="347">
        <v>0</v>
      </c>
      <c r="E13" s="347">
        <v>0</v>
      </c>
      <c r="F13" s="347">
        <v>0</v>
      </c>
      <c r="G13" s="348">
        <v>0</v>
      </c>
      <c r="H13" s="347">
        <v>0</v>
      </c>
      <c r="I13" s="347">
        <v>0</v>
      </c>
      <c r="J13" s="347">
        <v>0</v>
      </c>
    </row>
    <row r="14" spans="2:10">
      <c r="B14" s="346" t="s">
        <v>460</v>
      </c>
      <c r="C14" s="347">
        <v>2940000</v>
      </c>
      <c r="D14" s="347">
        <v>0</v>
      </c>
      <c r="E14" s="347">
        <v>0</v>
      </c>
      <c r="F14" s="347">
        <v>0</v>
      </c>
      <c r="G14" s="348">
        <v>0</v>
      </c>
      <c r="H14" s="347">
        <v>0</v>
      </c>
      <c r="I14" s="347">
        <v>0</v>
      </c>
      <c r="J14" s="347">
        <v>0</v>
      </c>
    </row>
    <row r="15" spans="2:10">
      <c r="B15" s="346" t="s">
        <v>398</v>
      </c>
      <c r="C15" s="347">
        <v>4230000</v>
      </c>
      <c r="D15" s="347">
        <v>169200</v>
      </c>
      <c r="E15" s="347">
        <v>0</v>
      </c>
      <c r="F15" s="347">
        <v>0</v>
      </c>
      <c r="G15" s="348">
        <v>0</v>
      </c>
      <c r="H15" s="347">
        <v>0</v>
      </c>
      <c r="I15" s="347">
        <v>0</v>
      </c>
      <c r="J15" s="347">
        <v>0</v>
      </c>
    </row>
    <row r="16" spans="2:10">
      <c r="B16" s="346" t="s">
        <v>634</v>
      </c>
      <c r="C16" s="347">
        <v>800000</v>
      </c>
      <c r="D16" s="347">
        <v>0</v>
      </c>
      <c r="E16" s="347">
        <v>0</v>
      </c>
      <c r="F16" s="347">
        <v>0</v>
      </c>
      <c r="G16" s="348">
        <v>0</v>
      </c>
      <c r="H16" s="347">
        <v>0</v>
      </c>
      <c r="I16" s="347">
        <v>0</v>
      </c>
      <c r="J16" s="347">
        <v>0</v>
      </c>
    </row>
    <row r="17" spans="2:10" ht="16.5" thickBot="1">
      <c r="B17" s="349" t="s">
        <v>270</v>
      </c>
      <c r="C17" s="350">
        <f>SUM(C8:C16)</f>
        <v>370322671</v>
      </c>
      <c r="D17" s="350">
        <f>SUM(D8:D16)</f>
        <v>3708402</v>
      </c>
      <c r="E17" s="350">
        <f>SUM(E8:E16)</f>
        <v>1848000</v>
      </c>
      <c r="F17" s="350">
        <f>SUM(F8:F16)</f>
        <v>264000</v>
      </c>
      <c r="G17" s="350">
        <f t="shared" ref="G17:I17" si="0">SUM(G8:G16)</f>
        <v>42825000</v>
      </c>
      <c r="H17" s="350">
        <f>SUM(H8:H16)</f>
        <v>1713000</v>
      </c>
      <c r="I17" s="350">
        <f t="shared" si="0"/>
        <v>1848000</v>
      </c>
      <c r="J17" s="350">
        <f t="shared" ref="J17" si="1">SUM(J8:J16)</f>
        <v>0</v>
      </c>
    </row>
    <row r="18" spans="2:10" ht="15.75">
      <c r="H18" s="501">
        <f>+D17-H17</f>
        <v>1995402</v>
      </c>
      <c r="I18" s="501">
        <f t="shared" ref="I18:J18" si="2">+E17-I17</f>
        <v>0</v>
      </c>
      <c r="J18" s="501">
        <f t="shared" si="2"/>
        <v>264000</v>
      </c>
    </row>
  </sheetData>
  <mergeCells count="5">
    <mergeCell ref="B4:I4"/>
    <mergeCell ref="G6:I6"/>
    <mergeCell ref="C6:F6"/>
    <mergeCell ref="B3:I3"/>
    <mergeCell ref="B2:I2"/>
  </mergeCells>
  <pageMargins left="0.7" right="0.7" top="0.75" bottom="0.75" header="0.3" footer="0.3"/>
  <pageSetup paperSize="9" scale="4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L89"/>
  <sheetViews>
    <sheetView showGridLines="0" workbookViewId="0">
      <pane ySplit="8" topLeftCell="A9" activePane="bottomLeft" state="frozen"/>
      <selection pane="bottomLeft" activeCell="K78" sqref="K78"/>
    </sheetView>
  </sheetViews>
  <sheetFormatPr baseColWidth="10" defaultColWidth="11.5703125" defaultRowHeight="12.75"/>
  <cols>
    <col min="1" max="1" width="4.85546875" style="380" customWidth="1"/>
    <col min="2" max="2" width="11.5703125" style="380"/>
    <col min="3" max="3" width="30.140625" style="380" customWidth="1"/>
    <col min="4" max="6" width="18.140625" style="437" customWidth="1"/>
    <col min="7" max="7" width="18.140625" style="437" hidden="1" customWidth="1"/>
    <col min="8" max="8" width="18.140625" style="437" customWidth="1"/>
    <col min="9" max="9" width="18.140625" style="437" hidden="1" customWidth="1"/>
    <col min="10" max="10" width="18.140625" style="438" hidden="1" customWidth="1"/>
    <col min="11" max="11" width="13" style="380" bestFit="1" customWidth="1"/>
    <col min="12" max="12" width="16.140625" style="380" bestFit="1" customWidth="1"/>
    <col min="13" max="14" width="11.5703125" style="380"/>
    <col min="15" max="15" width="12" style="380" bestFit="1" customWidth="1"/>
    <col min="16" max="16384" width="11.5703125" style="380"/>
  </cols>
  <sheetData>
    <row r="1" spans="1:11">
      <c r="A1" s="378"/>
      <c r="B1" s="378"/>
      <c r="C1" s="378"/>
      <c r="D1" s="379"/>
      <c r="E1" s="379"/>
      <c r="F1" s="379"/>
      <c r="G1" s="379"/>
      <c r="H1" s="379"/>
      <c r="I1" s="379"/>
      <c r="J1" s="379"/>
      <c r="K1" s="378"/>
    </row>
    <row r="2" spans="1:11">
      <c r="A2" s="378"/>
      <c r="B2" s="378"/>
      <c r="C2" s="378"/>
      <c r="D2" s="381"/>
      <c r="E2" s="381"/>
      <c r="F2" s="381"/>
      <c r="G2" s="381"/>
      <c r="H2" s="381"/>
      <c r="I2" s="381"/>
      <c r="J2" s="382"/>
      <c r="K2" s="378"/>
    </row>
    <row r="3" spans="1:11" ht="15" customHeight="1">
      <c r="A3" s="378"/>
      <c r="B3" s="535" t="s">
        <v>385</v>
      </c>
      <c r="C3" s="535"/>
      <c r="D3" s="535"/>
      <c r="E3" s="535"/>
      <c r="F3" s="535"/>
      <c r="G3" s="535"/>
      <c r="H3" s="535"/>
      <c r="I3" s="535"/>
      <c r="J3" s="535"/>
      <c r="K3" s="378"/>
    </row>
    <row r="4" spans="1:11" ht="15" customHeight="1">
      <c r="A4" s="378"/>
      <c r="B4" s="536" t="s">
        <v>386</v>
      </c>
      <c r="C4" s="536"/>
      <c r="D4" s="536"/>
      <c r="E4" s="536"/>
      <c r="F4" s="536"/>
      <c r="G4" s="536"/>
      <c r="H4" s="536"/>
      <c r="I4" s="536"/>
      <c r="J4" s="536"/>
      <c r="K4" s="378"/>
    </row>
    <row r="5" spans="1:11" ht="15" customHeight="1">
      <c r="A5" s="378"/>
      <c r="B5" s="535" t="s">
        <v>476</v>
      </c>
      <c r="C5" s="535"/>
      <c r="D5" s="535"/>
      <c r="E5" s="535"/>
      <c r="F5" s="535"/>
      <c r="G5" s="535"/>
      <c r="H5" s="535"/>
      <c r="I5" s="535"/>
      <c r="J5" s="535"/>
      <c r="K5" s="378"/>
    </row>
    <row r="6" spans="1:11" ht="13.5" thickBot="1">
      <c r="A6" s="378"/>
      <c r="B6" s="383"/>
      <c r="C6" s="383"/>
      <c r="D6" s="384" t="s">
        <v>477</v>
      </c>
      <c r="E6" s="385" t="s">
        <v>478</v>
      </c>
      <c r="F6" s="384"/>
      <c r="G6" s="385" t="s">
        <v>478</v>
      </c>
      <c r="H6" s="383"/>
      <c r="I6" s="383"/>
      <c r="J6" s="383"/>
      <c r="K6" s="378"/>
    </row>
    <row r="7" spans="1:11" ht="23.25" customHeight="1" thickBot="1">
      <c r="A7" s="378"/>
      <c r="B7" s="537" t="s">
        <v>479</v>
      </c>
      <c r="C7" s="538"/>
      <c r="D7" s="386">
        <v>2025</v>
      </c>
      <c r="E7" s="386">
        <v>2025</v>
      </c>
      <c r="F7" s="386">
        <v>2024</v>
      </c>
      <c r="G7" s="386">
        <v>2024</v>
      </c>
      <c r="H7" s="386">
        <v>2023</v>
      </c>
      <c r="I7" s="386">
        <v>2022</v>
      </c>
      <c r="J7" s="386">
        <v>2021</v>
      </c>
      <c r="K7" s="378"/>
    </row>
    <row r="8" spans="1:11" ht="13.5" thickBot="1">
      <c r="A8" s="378"/>
      <c r="B8" s="387"/>
      <c r="C8" s="388" t="s">
        <v>480</v>
      </c>
      <c r="D8" s="389" t="s">
        <v>481</v>
      </c>
      <c r="E8" s="389" t="s">
        <v>481</v>
      </c>
      <c r="F8" s="389" t="s">
        <v>481</v>
      </c>
      <c r="G8" s="389" t="s">
        <v>481</v>
      </c>
      <c r="H8" s="389" t="s">
        <v>481</v>
      </c>
      <c r="I8" s="389" t="s">
        <v>481</v>
      </c>
      <c r="J8" s="467" t="s">
        <v>481</v>
      </c>
      <c r="K8" s="378"/>
    </row>
    <row r="9" spans="1:11" ht="13.5" thickTop="1">
      <c r="A9" s="378"/>
      <c r="B9" s="532" t="s">
        <v>482</v>
      </c>
      <c r="C9" s="390" t="s">
        <v>483</v>
      </c>
      <c r="D9" s="391">
        <f>+'NOTAS ESF'!D11</f>
        <v>25997315.12252</v>
      </c>
      <c r="E9" s="391">
        <f>+'NOTAS ESF'!D11</f>
        <v>25997315.12252</v>
      </c>
      <c r="F9" s="391">
        <f>+'NOTAS ESF'!Q11</f>
        <v>3820798.84</v>
      </c>
      <c r="G9" s="391">
        <f>+'NOTAS ESF'!Q11</f>
        <v>3820798.84</v>
      </c>
      <c r="H9" s="391">
        <f>+'NOTAS ESF'!AD11</f>
        <v>290000.44399999798</v>
      </c>
      <c r="I9" s="391">
        <f>+'NOTAS ESF'!AQ11</f>
        <v>151142.152279995</v>
      </c>
      <c r="J9" s="468">
        <f>+'NOTAS ESF'!BD11</f>
        <v>15200930.1606667</v>
      </c>
      <c r="K9" s="378"/>
    </row>
    <row r="10" spans="1:11">
      <c r="A10" s="378"/>
      <c r="B10" s="533"/>
      <c r="C10" s="392" t="s">
        <v>554</v>
      </c>
      <c r="D10" s="393">
        <f>+'NOTAS ESF'!D12</f>
        <v>39797408</v>
      </c>
      <c r="E10" s="393">
        <f>+'NOTAS ESF'!D12</f>
        <v>39797408</v>
      </c>
      <c r="F10" s="393">
        <f>+'NOTAS ESF'!Q12</f>
        <v>1561881.86</v>
      </c>
      <c r="G10" s="393">
        <f>+'NOTAS ESF'!Q12</f>
        <v>1561881.86</v>
      </c>
      <c r="H10" s="393">
        <f>+'NOTAS ESF'!AD12</f>
        <v>1556377</v>
      </c>
      <c r="I10" s="391">
        <f>+'NOTAS ESF'!AQ12</f>
        <v>3670758</v>
      </c>
      <c r="J10" s="468">
        <f>+'NOTAS ESF'!BD12</f>
        <v>20870</v>
      </c>
      <c r="K10" s="378"/>
    </row>
    <row r="11" spans="1:11" ht="13.5" thickBot="1">
      <c r="A11" s="394"/>
      <c r="B11" s="534"/>
      <c r="C11" s="395" t="s">
        <v>484</v>
      </c>
      <c r="D11" s="396">
        <f t="shared" ref="D11:J11" si="0">SUM(D9:D10)</f>
        <v>65794723.12252</v>
      </c>
      <c r="E11" s="396">
        <f t="shared" si="0"/>
        <v>65794723.12252</v>
      </c>
      <c r="F11" s="396">
        <f t="shared" si="0"/>
        <v>5382680.7000000002</v>
      </c>
      <c r="G11" s="396">
        <f t="shared" si="0"/>
        <v>5382680.7000000002</v>
      </c>
      <c r="H11" s="396">
        <f t="shared" si="0"/>
        <v>1846377.443999998</v>
      </c>
      <c r="I11" s="396">
        <f t="shared" si="0"/>
        <v>3821900.1522799949</v>
      </c>
      <c r="J11" s="469">
        <f t="shared" si="0"/>
        <v>15221800.1606667</v>
      </c>
      <c r="K11" s="394"/>
    </row>
    <row r="12" spans="1:11" ht="14.25" hidden="1" thickTop="1" thickBot="1">
      <c r="A12" s="378"/>
      <c r="B12" s="532" t="s">
        <v>485</v>
      </c>
      <c r="C12" s="397" t="s">
        <v>486</v>
      </c>
      <c r="D12" s="398"/>
      <c r="E12" s="398"/>
      <c r="F12" s="398"/>
      <c r="G12" s="398"/>
      <c r="H12" s="398"/>
      <c r="I12" s="398"/>
      <c r="J12" s="470">
        <v>0</v>
      </c>
      <c r="K12" s="378"/>
    </row>
    <row r="13" spans="1:11" ht="14.25" hidden="1" thickTop="1" thickBot="1">
      <c r="A13" s="378"/>
      <c r="B13" s="533"/>
      <c r="C13" s="397"/>
      <c r="D13" s="398"/>
      <c r="E13" s="398"/>
      <c r="F13" s="398"/>
      <c r="G13" s="398"/>
      <c r="H13" s="398"/>
      <c r="I13" s="398"/>
      <c r="J13" s="470"/>
      <c r="K13" s="378"/>
    </row>
    <row r="14" spans="1:11" ht="14.25" hidden="1" thickTop="1" thickBot="1">
      <c r="A14" s="378"/>
      <c r="B14" s="533"/>
      <c r="C14" s="399"/>
      <c r="D14" s="400"/>
      <c r="E14" s="400"/>
      <c r="F14" s="400"/>
      <c r="G14" s="400"/>
      <c r="H14" s="400"/>
      <c r="I14" s="400"/>
      <c r="J14" s="470"/>
      <c r="K14" s="378"/>
    </row>
    <row r="15" spans="1:11" ht="14.25" hidden="1" thickTop="1" thickBot="1">
      <c r="A15" s="401"/>
      <c r="B15" s="534"/>
      <c r="C15" s="395" t="s">
        <v>484</v>
      </c>
      <c r="D15" s="402"/>
      <c r="E15" s="402"/>
      <c r="F15" s="402"/>
      <c r="G15" s="402"/>
      <c r="H15" s="402"/>
      <c r="I15" s="402"/>
      <c r="J15" s="469">
        <f t="shared" ref="J15" si="1">SUM(J12:J14)</f>
        <v>0</v>
      </c>
      <c r="K15" s="401"/>
    </row>
    <row r="16" spans="1:11" ht="13.5" thickTop="1">
      <c r="A16" s="401"/>
      <c r="B16" s="541" t="s">
        <v>487</v>
      </c>
      <c r="C16" s="403" t="s">
        <v>488</v>
      </c>
      <c r="D16" s="400">
        <f>+'NOTAS ESF'!D15</f>
        <v>14105655</v>
      </c>
      <c r="E16" s="400">
        <f>+'NOTAS ESF'!D15</f>
        <v>14105655</v>
      </c>
      <c r="F16" s="400">
        <f>+'NOTAS ESF'!Q15</f>
        <v>8811554</v>
      </c>
      <c r="G16" s="400">
        <f>+'NOTAS ESF'!Q15</f>
        <v>8811554</v>
      </c>
      <c r="H16" s="400">
        <f>+'NOTAS ESF'!AD15</f>
        <v>15737723</v>
      </c>
      <c r="I16" s="400">
        <f>+'NOTAS ESF'!AQ15</f>
        <v>500000</v>
      </c>
      <c r="J16" s="471">
        <f>+'NOTAS ESF'!BD15</f>
        <v>0</v>
      </c>
      <c r="K16" s="401"/>
    </row>
    <row r="17" spans="1:11">
      <c r="A17" s="401"/>
      <c r="B17" s="542"/>
      <c r="C17" s="504" t="s">
        <v>635</v>
      </c>
      <c r="D17" s="400">
        <f>+'NOTAS ESF'!D40</f>
        <v>752100</v>
      </c>
      <c r="E17" s="400">
        <f>+'NOTAS ESF'!D40</f>
        <v>752100</v>
      </c>
      <c r="F17" s="400">
        <v>0</v>
      </c>
      <c r="G17" s="400">
        <v>0</v>
      </c>
      <c r="H17" s="400">
        <v>0</v>
      </c>
      <c r="I17" s="400">
        <v>0</v>
      </c>
      <c r="J17" s="471">
        <v>0</v>
      </c>
      <c r="K17" s="401"/>
    </row>
    <row r="18" spans="1:11" hidden="1">
      <c r="A18" s="401"/>
      <c r="B18" s="542"/>
      <c r="C18" s="392" t="s">
        <v>489</v>
      </c>
      <c r="D18" s="400">
        <v>0</v>
      </c>
      <c r="E18" s="400">
        <v>0</v>
      </c>
      <c r="F18" s="400">
        <v>0</v>
      </c>
      <c r="G18" s="400">
        <v>0</v>
      </c>
      <c r="H18" s="400">
        <v>0</v>
      </c>
      <c r="I18" s="400">
        <v>0</v>
      </c>
      <c r="J18" s="472">
        <v>0</v>
      </c>
      <c r="K18" s="401"/>
    </row>
    <row r="19" spans="1:11" hidden="1">
      <c r="A19" s="401"/>
      <c r="B19" s="542"/>
      <c r="C19" s="392"/>
      <c r="D19" s="404"/>
      <c r="E19" s="404"/>
      <c r="F19" s="404"/>
      <c r="G19" s="404"/>
      <c r="H19" s="404"/>
      <c r="I19" s="404"/>
      <c r="J19" s="472">
        <v>0</v>
      </c>
      <c r="K19" s="401"/>
    </row>
    <row r="20" spans="1:11" hidden="1">
      <c r="A20" s="401"/>
      <c r="B20" s="542"/>
      <c r="C20" s="392"/>
      <c r="D20" s="404"/>
      <c r="E20" s="404"/>
      <c r="F20" s="404"/>
      <c r="G20" s="404"/>
      <c r="H20" s="404"/>
      <c r="I20" s="404"/>
      <c r="J20" s="472">
        <v>0</v>
      </c>
      <c r="K20" s="401"/>
    </row>
    <row r="21" spans="1:11" ht="13.5" thickBot="1">
      <c r="A21" s="401"/>
      <c r="B21" s="543"/>
      <c r="C21" s="395" t="s">
        <v>484</v>
      </c>
      <c r="D21" s="396">
        <f t="shared" ref="D21:J21" si="2">SUM(D16:D20)</f>
        <v>14857755</v>
      </c>
      <c r="E21" s="396">
        <f t="shared" si="2"/>
        <v>14857755</v>
      </c>
      <c r="F21" s="396">
        <f t="shared" si="2"/>
        <v>8811554</v>
      </c>
      <c r="G21" s="396">
        <f t="shared" si="2"/>
        <v>8811554</v>
      </c>
      <c r="H21" s="396">
        <f t="shared" si="2"/>
        <v>15737723</v>
      </c>
      <c r="I21" s="396">
        <f t="shared" si="2"/>
        <v>500000</v>
      </c>
      <c r="J21" s="469">
        <f t="shared" si="2"/>
        <v>0</v>
      </c>
      <c r="K21" s="401"/>
    </row>
    <row r="22" spans="1:11" ht="13.5" hidden="1" thickTop="1">
      <c r="A22" s="394"/>
      <c r="B22" s="532" t="s">
        <v>490</v>
      </c>
      <c r="C22" s="399" t="s">
        <v>491</v>
      </c>
      <c r="D22" s="400">
        <v>0</v>
      </c>
      <c r="E22" s="400">
        <v>0</v>
      </c>
      <c r="F22" s="400">
        <v>0</v>
      </c>
      <c r="G22" s="400">
        <v>0</v>
      </c>
      <c r="H22" s="400">
        <f>+'[1]NOTAS '!N44</f>
        <v>0</v>
      </c>
      <c r="I22" s="400">
        <v>0</v>
      </c>
      <c r="J22" s="471">
        <v>0</v>
      </c>
      <c r="K22" s="394"/>
    </row>
    <row r="23" spans="1:11" ht="13.5" hidden="1" thickTop="1">
      <c r="A23" s="394"/>
      <c r="B23" s="533"/>
      <c r="C23" s="399" t="s">
        <v>492</v>
      </c>
      <c r="D23" s="400">
        <v>0</v>
      </c>
      <c r="E23" s="400">
        <v>0</v>
      </c>
      <c r="F23" s="400">
        <v>0</v>
      </c>
      <c r="G23" s="400">
        <v>0</v>
      </c>
      <c r="H23" s="400">
        <v>0</v>
      </c>
      <c r="I23" s="400">
        <v>0</v>
      </c>
      <c r="J23" s="471">
        <v>0</v>
      </c>
      <c r="K23" s="394"/>
    </row>
    <row r="24" spans="1:11" ht="14.25" hidden="1" thickTop="1" thickBot="1">
      <c r="A24" s="401"/>
      <c r="B24" s="534"/>
      <c r="C24" s="395" t="s">
        <v>484</v>
      </c>
      <c r="D24" s="396">
        <f t="shared" ref="D24:J24" si="3">SUM(D22:D23)</f>
        <v>0</v>
      </c>
      <c r="E24" s="396">
        <f t="shared" si="3"/>
        <v>0</v>
      </c>
      <c r="F24" s="396">
        <f t="shared" si="3"/>
        <v>0</v>
      </c>
      <c r="G24" s="396">
        <f t="shared" si="3"/>
        <v>0</v>
      </c>
      <c r="H24" s="396">
        <f t="shared" si="3"/>
        <v>0</v>
      </c>
      <c r="I24" s="396">
        <f t="shared" si="3"/>
        <v>0</v>
      </c>
      <c r="J24" s="469">
        <f t="shared" si="3"/>
        <v>0</v>
      </c>
      <c r="K24" s="401"/>
    </row>
    <row r="25" spans="1:11" ht="13.5" hidden="1" thickTop="1">
      <c r="A25" s="378"/>
      <c r="B25" s="532" t="s">
        <v>493</v>
      </c>
      <c r="C25" s="399" t="s">
        <v>494</v>
      </c>
      <c r="D25" s="400"/>
      <c r="E25" s="400"/>
      <c r="F25" s="400"/>
      <c r="G25" s="400"/>
      <c r="H25" s="400"/>
      <c r="I25" s="400"/>
      <c r="J25" s="470">
        <v>0</v>
      </c>
      <c r="K25" s="378"/>
    </row>
    <row r="26" spans="1:11" ht="13.5" hidden="1" thickTop="1">
      <c r="A26" s="378"/>
      <c r="B26" s="533"/>
      <c r="C26" s="399" t="s">
        <v>495</v>
      </c>
      <c r="D26" s="400"/>
      <c r="E26" s="400"/>
      <c r="F26" s="400"/>
      <c r="G26" s="400"/>
      <c r="H26" s="400"/>
      <c r="I26" s="400"/>
      <c r="J26" s="470">
        <v>0</v>
      </c>
      <c r="K26" s="378"/>
    </row>
    <row r="27" spans="1:11" ht="13.5" hidden="1" thickTop="1">
      <c r="A27" s="378"/>
      <c r="B27" s="533"/>
      <c r="C27" s="399" t="s">
        <v>496</v>
      </c>
      <c r="D27" s="400"/>
      <c r="E27" s="400"/>
      <c r="F27" s="400"/>
      <c r="G27" s="400"/>
      <c r="H27" s="400"/>
      <c r="I27" s="400"/>
      <c r="J27" s="470">
        <v>0</v>
      </c>
      <c r="K27" s="378"/>
    </row>
    <row r="28" spans="1:11" ht="20.25" hidden="1" customHeight="1">
      <c r="A28" s="378"/>
      <c r="B28" s="533"/>
      <c r="C28" s="399" t="s">
        <v>496</v>
      </c>
      <c r="D28" s="400"/>
      <c r="E28" s="400"/>
      <c r="F28" s="400"/>
      <c r="G28" s="400"/>
      <c r="H28" s="400"/>
      <c r="I28" s="400"/>
      <c r="J28" s="470">
        <v>0</v>
      </c>
      <c r="K28" s="378"/>
    </row>
    <row r="29" spans="1:11" ht="13.5" thickTop="1">
      <c r="A29" s="378"/>
      <c r="B29" s="533"/>
      <c r="C29" s="399" t="s">
        <v>497</v>
      </c>
      <c r="D29" s="393">
        <f>+'NOTAS ESF'!D66</f>
        <v>8400000</v>
      </c>
      <c r="E29" s="393">
        <f>+'NOTAS ESF'!D66</f>
        <v>8400000</v>
      </c>
      <c r="F29" s="393">
        <f>+'NOTAS ESF'!Q66</f>
        <v>8400000</v>
      </c>
      <c r="G29" s="393">
        <f>+'NOTAS ESF'!Q66</f>
        <v>8400000</v>
      </c>
      <c r="H29" s="393">
        <f>+'NOTAS ESF'!AD66</f>
        <v>8400000</v>
      </c>
      <c r="I29" s="393">
        <f>+'NOTAS ESF'!AQ66</f>
        <v>8400000</v>
      </c>
      <c r="J29" s="470">
        <f>+'NOTAS ESF'!BD66</f>
        <v>4800000</v>
      </c>
      <c r="K29" s="378"/>
    </row>
    <row r="30" spans="1:11">
      <c r="A30" s="378"/>
      <c r="B30" s="533"/>
      <c r="C30" s="405" t="s">
        <v>496</v>
      </c>
      <c r="D30" s="406">
        <f>+'NOTAS ESF'!D63</f>
        <v>8986530</v>
      </c>
      <c r="E30" s="406">
        <f>+'NOTAS ESF'!D63</f>
        <v>8986530</v>
      </c>
      <c r="F30" s="406">
        <f>+'NOTAS ESF'!Q63</f>
        <v>8986530</v>
      </c>
      <c r="G30" s="406">
        <f>+'NOTAS ESF'!R63</f>
        <v>8986530</v>
      </c>
      <c r="H30" s="406">
        <f>+'NOTAS ESF'!AD63</f>
        <v>8986530</v>
      </c>
      <c r="I30" s="406">
        <f>+'NOTAS ESF'!AQ63</f>
        <v>4783193</v>
      </c>
      <c r="J30" s="473">
        <f>+'NOTAS ESF'!BD63</f>
        <v>4783193</v>
      </c>
      <c r="K30" s="378"/>
    </row>
    <row r="31" spans="1:11" hidden="1">
      <c r="A31" s="378"/>
      <c r="B31" s="533"/>
      <c r="C31" s="405" t="s">
        <v>498</v>
      </c>
      <c r="D31" s="406"/>
      <c r="E31" s="406"/>
      <c r="F31" s="406"/>
      <c r="G31" s="406"/>
      <c r="H31" s="406"/>
      <c r="I31" s="406"/>
      <c r="J31" s="473"/>
      <c r="K31" s="378"/>
    </row>
    <row r="32" spans="1:11" hidden="1">
      <c r="A32" s="378"/>
      <c r="B32" s="533"/>
      <c r="C32" s="405" t="s">
        <v>499</v>
      </c>
      <c r="D32" s="406"/>
      <c r="E32" s="406"/>
      <c r="F32" s="406"/>
      <c r="G32" s="406"/>
      <c r="H32" s="406"/>
      <c r="I32" s="406"/>
      <c r="J32" s="473"/>
      <c r="K32" s="378"/>
    </row>
    <row r="33" spans="1:11">
      <c r="A33" s="378"/>
      <c r="B33" s="533"/>
      <c r="C33" s="405" t="s">
        <v>500</v>
      </c>
      <c r="D33" s="407"/>
      <c r="E33" s="407"/>
      <c r="F33" s="407"/>
      <c r="G33" s="407"/>
      <c r="H33" s="407"/>
      <c r="I33" s="407"/>
      <c r="J33" s="474"/>
      <c r="K33" s="378"/>
    </row>
    <row r="34" spans="1:11" ht="13.5" thickBot="1">
      <c r="A34" s="401"/>
      <c r="B34" s="534"/>
      <c r="C34" s="395" t="s">
        <v>484</v>
      </c>
      <c r="D34" s="396">
        <f t="shared" ref="D34:J34" si="4">SUM(D25:D33)</f>
        <v>17386530</v>
      </c>
      <c r="E34" s="396">
        <f t="shared" si="4"/>
        <v>17386530</v>
      </c>
      <c r="F34" s="396">
        <f t="shared" si="4"/>
        <v>17386530</v>
      </c>
      <c r="G34" s="396">
        <f t="shared" si="4"/>
        <v>17386530</v>
      </c>
      <c r="H34" s="396">
        <f t="shared" si="4"/>
        <v>17386530</v>
      </c>
      <c r="I34" s="396">
        <f t="shared" si="4"/>
        <v>13183193</v>
      </c>
      <c r="J34" s="469">
        <f t="shared" si="4"/>
        <v>9583193</v>
      </c>
      <c r="K34" s="401"/>
    </row>
    <row r="35" spans="1:11" ht="13.5" thickTop="1">
      <c r="A35" s="378"/>
      <c r="B35" s="532" t="s">
        <v>501</v>
      </c>
      <c r="C35" s="392" t="s">
        <v>502</v>
      </c>
      <c r="D35" s="404">
        <f>+'NOTAS ESF'!D48</f>
        <v>1604000</v>
      </c>
      <c r="E35" s="404">
        <f>+'NOTAS ESF'!D48</f>
        <v>1604000</v>
      </c>
      <c r="F35" s="404">
        <f>+'NOTAS ESF'!Q48</f>
        <v>1857000</v>
      </c>
      <c r="G35" s="404">
        <f>+'NOTAS ESF'!Q48</f>
        <v>1857000</v>
      </c>
      <c r="H35" s="404">
        <f>+'NOTAS ESF'!AD48</f>
        <v>1906000</v>
      </c>
      <c r="I35" s="404">
        <f>+'NOTAS ESF'!AQ48</f>
        <v>135000</v>
      </c>
      <c r="J35" s="472">
        <f>+'NOTAS ESF'!BD48</f>
        <v>0</v>
      </c>
      <c r="K35" s="378"/>
    </row>
    <row r="36" spans="1:11" ht="14.25" customHeight="1">
      <c r="A36" s="378"/>
      <c r="B36" s="533"/>
      <c r="C36" s="405" t="s">
        <v>503</v>
      </c>
      <c r="D36" s="404">
        <f>+'NOTAS ESF'!D50</f>
        <v>3708322</v>
      </c>
      <c r="E36" s="404">
        <f>+'NOTAS ESF'!D50</f>
        <v>3708322</v>
      </c>
      <c r="F36" s="404">
        <f>+'NOTAS ESF'!Q50</f>
        <v>3118800</v>
      </c>
      <c r="G36" s="404">
        <f>+'NOTAS ESF'!Q50</f>
        <v>3118800</v>
      </c>
      <c r="H36" s="404">
        <f>+'NOTAS ESF'!AD50</f>
        <v>1958400</v>
      </c>
      <c r="I36" s="404">
        <f>+'NOTAS ESF'!AQ50</f>
        <v>1490500</v>
      </c>
      <c r="J36" s="472">
        <f>+'NOTAS ESF'!BD50</f>
        <v>317780</v>
      </c>
      <c r="K36" s="378"/>
    </row>
    <row r="37" spans="1:11" ht="14.25" customHeight="1">
      <c r="A37" s="378"/>
      <c r="B37" s="533"/>
      <c r="C37" s="505" t="s">
        <v>636</v>
      </c>
      <c r="D37" s="404">
        <f>+'NOTAS ESF'!D49</f>
        <v>0</v>
      </c>
      <c r="E37" s="404">
        <f>+'NOTAS ESF'!D49</f>
        <v>0</v>
      </c>
      <c r="F37" s="404"/>
      <c r="G37" s="404"/>
      <c r="H37" s="404"/>
      <c r="I37" s="404"/>
      <c r="J37" s="472"/>
      <c r="K37" s="378"/>
    </row>
    <row r="38" spans="1:11">
      <c r="A38" s="378"/>
      <c r="B38" s="533"/>
      <c r="C38" s="405" t="s">
        <v>555</v>
      </c>
      <c r="D38" s="404">
        <f>+'NOTAS ESF'!D51</f>
        <v>4073548.6940000001</v>
      </c>
      <c r="E38" s="404">
        <f>+'NOTAS ESF'!D51</f>
        <v>4073548.6940000001</v>
      </c>
      <c r="F38" s="404">
        <f>+'NOTAS ESF'!Q51</f>
        <v>1051704.6939999999</v>
      </c>
      <c r="G38" s="404">
        <f>+'NOTAS ESF'!Q51</f>
        <v>1051704.6939999999</v>
      </c>
      <c r="H38" s="404">
        <f>+'NOTAS ESF'!AD51</f>
        <v>1130943.3060000001</v>
      </c>
      <c r="I38" s="404">
        <f>+'NOTAS ESF'!AQ51</f>
        <v>382274</v>
      </c>
      <c r="J38" s="472">
        <f>+'NOTAS ESF'!BD51</f>
        <v>148000</v>
      </c>
      <c r="K38" s="378"/>
    </row>
    <row r="39" spans="1:11">
      <c r="A39" s="378"/>
      <c r="B39" s="533"/>
      <c r="C39" s="405" t="s">
        <v>556</v>
      </c>
      <c r="D39" s="404">
        <f>+'NOTAS ESF'!D53</f>
        <v>264000</v>
      </c>
      <c r="E39" s="404">
        <f>+'NOTAS ESF'!D53</f>
        <v>264000</v>
      </c>
      <c r="F39" s="404">
        <f>+'NOTAS ESF'!Q53</f>
        <v>419820.425520055</v>
      </c>
      <c r="G39" s="404">
        <f>+'NOTAS ESF'!Q53</f>
        <v>419820.425520055</v>
      </c>
      <c r="H39" s="404">
        <f>+'NOTAS ESF'!AD53</f>
        <v>108074</v>
      </c>
      <c r="I39" s="404">
        <f>+'NOTAS ESF'!AQ53</f>
        <v>36074</v>
      </c>
      <c r="J39" s="472">
        <f>+'NOTAS ESF'!BD53</f>
        <v>35808</v>
      </c>
      <c r="K39" s="378"/>
    </row>
    <row r="40" spans="1:11" ht="13.5" thickBot="1">
      <c r="A40" s="401"/>
      <c r="B40" s="534"/>
      <c r="C40" s="464" t="s">
        <v>484</v>
      </c>
      <c r="D40" s="396">
        <f t="shared" ref="D40:J40" si="5">SUM(D35:D39)</f>
        <v>9649870.6940000001</v>
      </c>
      <c r="E40" s="396">
        <f t="shared" si="5"/>
        <v>9649870.6940000001</v>
      </c>
      <c r="F40" s="396">
        <f t="shared" si="5"/>
        <v>6447325.1195200551</v>
      </c>
      <c r="G40" s="396">
        <f t="shared" si="5"/>
        <v>6447325.1195200551</v>
      </c>
      <c r="H40" s="396">
        <f t="shared" si="5"/>
        <v>5103417.3059999999</v>
      </c>
      <c r="I40" s="396">
        <f t="shared" si="5"/>
        <v>2043848</v>
      </c>
      <c r="J40" s="469">
        <f t="shared" si="5"/>
        <v>501588</v>
      </c>
      <c r="K40" s="401"/>
    </row>
    <row r="41" spans="1:11" ht="13.5" thickTop="1">
      <c r="A41" s="465"/>
      <c r="B41" s="546" t="s">
        <v>557</v>
      </c>
      <c r="C41" s="405" t="s">
        <v>211</v>
      </c>
      <c r="D41" s="398">
        <f>+'NOTAS ESF'!D69</f>
        <v>36327625</v>
      </c>
      <c r="E41" s="398">
        <f>+'NOTAS ESF'!D69</f>
        <v>36327625</v>
      </c>
      <c r="F41" s="398">
        <f>+'NOTAS ESF'!Q69</f>
        <v>36327625</v>
      </c>
      <c r="G41" s="398">
        <v>0</v>
      </c>
      <c r="H41" s="398">
        <v>0</v>
      </c>
      <c r="I41" s="398">
        <f>+'NOTAS ESF'!AQ69</f>
        <v>24505488</v>
      </c>
      <c r="J41" s="475">
        <v>0</v>
      </c>
      <c r="K41" s="401"/>
    </row>
    <row r="42" spans="1:11" ht="13.5" thickBot="1">
      <c r="A42" s="465"/>
      <c r="B42" s="547"/>
      <c r="C42" s="464" t="s">
        <v>484</v>
      </c>
      <c r="D42" s="463">
        <f>SUM(D41)</f>
        <v>36327625</v>
      </c>
      <c r="E42" s="463">
        <f>SUM(E41)</f>
        <v>36327625</v>
      </c>
      <c r="F42" s="463">
        <f>SUM(F41)</f>
        <v>36327625</v>
      </c>
      <c r="G42" s="463">
        <f t="shared" ref="G42:J42" si="6">SUM(G41)</f>
        <v>0</v>
      </c>
      <c r="H42" s="463">
        <f t="shared" si="6"/>
        <v>0</v>
      </c>
      <c r="I42" s="463">
        <f t="shared" si="6"/>
        <v>24505488</v>
      </c>
      <c r="J42" s="463">
        <f t="shared" si="6"/>
        <v>0</v>
      </c>
      <c r="K42" s="401"/>
    </row>
    <row r="43" spans="1:11" ht="14.25" thickTop="1" thickBot="1">
      <c r="A43" s="378"/>
      <c r="B43" s="544" t="s">
        <v>504</v>
      </c>
      <c r="C43" s="545"/>
      <c r="D43" s="408">
        <f>+D11+D15+D34+D40+D21+D24+D42</f>
        <v>144016503.81652001</v>
      </c>
      <c r="E43" s="408">
        <f t="shared" ref="E43" si="7">+E11+E15+E34+E40+E21+E24+E42</f>
        <v>144016503.81652001</v>
      </c>
      <c r="F43" s="408">
        <f>+F11+F15+F34+F40+F21+F24+F42</f>
        <v>74355714.819520056</v>
      </c>
      <c r="G43" s="408">
        <f>+G11+G15+G34+G40+G21+G24+G42</f>
        <v>38028089.819520056</v>
      </c>
      <c r="H43" s="408">
        <f>+H11+H15+H34+H40+H21+H24+H42</f>
        <v>40074047.75</v>
      </c>
      <c r="I43" s="408">
        <f>+I11+I15+I34+I40+I21+I24+I42</f>
        <v>44054429.152279995</v>
      </c>
      <c r="J43" s="466">
        <f>+J11+J15+J34+J40+J21+J24+J42</f>
        <v>25306581.1606667</v>
      </c>
      <c r="K43" s="378"/>
    </row>
    <row r="44" spans="1:11" ht="13.5" hidden="1" thickTop="1">
      <c r="A44" s="378"/>
      <c r="B44" s="541" t="s">
        <v>55</v>
      </c>
      <c r="C44" s="399" t="s">
        <v>505</v>
      </c>
      <c r="D44" s="400"/>
      <c r="E44" s="400"/>
      <c r="F44" s="400"/>
      <c r="G44" s="400"/>
      <c r="H44" s="400"/>
      <c r="I44" s="400"/>
      <c r="J44" s="400"/>
      <c r="K44" s="378"/>
    </row>
    <row r="45" spans="1:11" ht="13.5" hidden="1" thickTop="1">
      <c r="A45" s="378"/>
      <c r="B45" s="542"/>
      <c r="C45" s="399" t="s">
        <v>506</v>
      </c>
      <c r="D45" s="400"/>
      <c r="E45" s="400"/>
      <c r="F45" s="400"/>
      <c r="G45" s="400"/>
      <c r="H45" s="400"/>
      <c r="I45" s="400"/>
      <c r="J45" s="400"/>
      <c r="K45" s="378"/>
    </row>
    <row r="46" spans="1:11" ht="13.5" thickTop="1">
      <c r="A46" s="378"/>
      <c r="B46" s="542"/>
      <c r="C46" s="399" t="s">
        <v>511</v>
      </c>
      <c r="D46" s="400">
        <f>+'NOTAS ESF'!D79</f>
        <v>10155997</v>
      </c>
      <c r="E46" s="400">
        <f>+'NOTAS ESF'!D79</f>
        <v>10155997</v>
      </c>
      <c r="F46" s="400">
        <f>+'NOTAS ESF'!Q79</f>
        <v>6941830</v>
      </c>
      <c r="G46" s="400">
        <f>+'NOTAS ESF'!Q79</f>
        <v>6941830</v>
      </c>
      <c r="H46" s="400">
        <f>+'NOTAS ESF'!AD79</f>
        <v>40000</v>
      </c>
      <c r="I46" s="400">
        <f>+'NOTAS ESF'!AQ79</f>
        <v>32460000</v>
      </c>
      <c r="J46" s="400">
        <f>+'NOTAS ESF'!BD79</f>
        <v>20000000</v>
      </c>
      <c r="K46" s="378"/>
    </row>
    <row r="47" spans="1:11">
      <c r="A47" s="378"/>
      <c r="B47" s="542"/>
      <c r="C47" s="399" t="s">
        <v>507</v>
      </c>
      <c r="D47" s="400">
        <f>+'NOTAS ESF'!D98</f>
        <v>3776000</v>
      </c>
      <c r="E47" s="400">
        <f>+'NOTAS ESF'!D98</f>
        <v>3776000</v>
      </c>
      <c r="F47" s="400">
        <f>+'NOTAS ESF'!Q98</f>
        <v>637600</v>
      </c>
      <c r="G47" s="400">
        <f>+'NOTAS ESF'!Q98</f>
        <v>637600</v>
      </c>
      <c r="H47" s="400">
        <f>+'NOTAS ESF'!AD98</f>
        <v>897900</v>
      </c>
      <c r="I47" s="400">
        <f>+'NOTAS ESF'!AQ98</f>
        <v>780400</v>
      </c>
      <c r="J47" s="400">
        <f>+'NOTAS ESF'!BD98</f>
        <v>446000</v>
      </c>
      <c r="K47" s="378"/>
    </row>
    <row r="48" spans="1:11" hidden="1">
      <c r="A48" s="378"/>
      <c r="B48" s="542"/>
      <c r="C48" s="409" t="s">
        <v>508</v>
      </c>
      <c r="D48" s="398"/>
      <c r="E48" s="398"/>
      <c r="F48" s="398"/>
      <c r="G48" s="398"/>
      <c r="H48" s="398"/>
      <c r="I48" s="400"/>
      <c r="J48" s="400"/>
      <c r="K48" s="378"/>
    </row>
    <row r="49" spans="1:11">
      <c r="A49" s="378"/>
      <c r="B49" s="542"/>
      <c r="C49" s="399" t="s">
        <v>560</v>
      </c>
      <c r="D49" s="400">
        <f>+'NOTAS ESF'!D109+'NOTAS ESF'!D110+'NOTAS ESF'!D112</f>
        <v>23495260.030000001</v>
      </c>
      <c r="E49" s="400">
        <f>+'NOTAS ESF'!D110+'NOTAS ESF'!D109+'NOTAS ESF'!D112</f>
        <v>23495260.030000001</v>
      </c>
      <c r="F49" s="400">
        <f>+'NOTAS ESF'!Q109+'NOTAS ESF'!Q110+'NOTAS ESF'!Q112</f>
        <v>28550042.030000001</v>
      </c>
      <c r="G49" s="400">
        <f>+'NOTAS ESF'!Q110+'NOTAS ESF'!Q109+'NOTAS ESF'!Q112</f>
        <v>28550042.030000001</v>
      </c>
      <c r="H49" s="400">
        <f>+'NOTAS ESF'!AD109+'NOTAS ESF'!AD110+'NOTAS ESF'!AD112</f>
        <v>16426599.09</v>
      </c>
      <c r="I49" s="400">
        <f>+'NOTAS ESF'!AQ109+'NOTAS ESF'!AQ110+'NOTAS ESF'!AQ112</f>
        <v>4036561</v>
      </c>
      <c r="J49" s="400">
        <f>+'NOTAS ESF'!BD109+'NOTAS ESF'!BD110+'NOTAS ESF'!BD112</f>
        <v>294499.82999999996</v>
      </c>
      <c r="K49" s="378"/>
    </row>
    <row r="50" spans="1:11">
      <c r="A50" s="378"/>
      <c r="B50" s="542"/>
      <c r="C50" s="399" t="s">
        <v>509</v>
      </c>
      <c r="D50" s="400">
        <f>+'NOTAS ESF'!D111</f>
        <v>17191801.868499998</v>
      </c>
      <c r="E50" s="400">
        <f>+'NOTAS ESF'!D111</f>
        <v>17191801.868499998</v>
      </c>
      <c r="F50" s="400">
        <f>+'NOTAS ESF'!Q111</f>
        <v>4424318.9129999997</v>
      </c>
      <c r="G50" s="400">
        <f>+'NOTAS ESF'!Q111</f>
        <v>4424318.9129999997</v>
      </c>
      <c r="H50" s="400">
        <f>+'NOTAS ESF'!AD111</f>
        <v>3138638.5240000002</v>
      </c>
      <c r="I50" s="400">
        <f>+'NOTAS ESF'!AQ111</f>
        <v>0</v>
      </c>
      <c r="J50" s="400">
        <f>+'NOTAS ESF'!BD111</f>
        <v>0</v>
      </c>
      <c r="K50" s="378"/>
    </row>
    <row r="51" spans="1:11" hidden="1">
      <c r="A51" s="378"/>
      <c r="B51" s="542"/>
      <c r="C51" s="399" t="s">
        <v>510</v>
      </c>
      <c r="D51" s="400"/>
      <c r="E51" s="400"/>
      <c r="F51" s="400"/>
      <c r="G51" s="400"/>
      <c r="H51" s="400"/>
      <c r="I51" s="400"/>
      <c r="J51" s="400"/>
      <c r="K51" s="378"/>
    </row>
    <row r="52" spans="1:11" hidden="1">
      <c r="A52" s="378"/>
      <c r="B52" s="542"/>
      <c r="C52" s="399" t="s">
        <v>375</v>
      </c>
      <c r="D52" s="400"/>
      <c r="E52" s="400"/>
      <c r="F52" s="400"/>
      <c r="G52" s="400"/>
      <c r="H52" s="400"/>
      <c r="I52" s="400"/>
      <c r="J52" s="400"/>
      <c r="K52" s="378"/>
    </row>
    <row r="53" spans="1:11" ht="13.15" hidden="1" customHeight="1">
      <c r="A53" s="378"/>
      <c r="B53" s="542"/>
      <c r="C53" s="399" t="s">
        <v>511</v>
      </c>
      <c r="D53" s="400"/>
      <c r="E53" s="400"/>
      <c r="F53" s="400"/>
      <c r="G53" s="400"/>
      <c r="H53" s="400"/>
      <c r="I53" s="400"/>
      <c r="J53" s="400"/>
      <c r="K53" s="378"/>
    </row>
    <row r="54" spans="1:11">
      <c r="A54" s="378"/>
      <c r="B54" s="542"/>
      <c r="C54" s="399" t="s">
        <v>558</v>
      </c>
      <c r="D54" s="400">
        <f>+'NOTAS ESF'!D118</f>
        <v>35230529</v>
      </c>
      <c r="E54" s="400">
        <f>+'NOTAS ESF'!D118</f>
        <v>35230529</v>
      </c>
      <c r="F54" s="400">
        <f>+'NOTAS ESF'!Q118</f>
        <v>16398640</v>
      </c>
      <c r="G54" s="400">
        <f>+'NOTAS ESF'!Q118</f>
        <v>16398640</v>
      </c>
      <c r="H54" s="400">
        <f>+'NOTAS ESF'!AD118</f>
        <v>10384219</v>
      </c>
      <c r="I54" s="400">
        <f>+'NOTAS ESF'!AQ118</f>
        <v>3419676.6587599972</v>
      </c>
      <c r="J54" s="400">
        <f>+'NOTAS ESF'!BD118</f>
        <v>1499566.3306666671</v>
      </c>
      <c r="K54" s="378"/>
    </row>
    <row r="55" spans="1:11" hidden="1">
      <c r="A55" s="378"/>
      <c r="B55" s="542"/>
      <c r="C55" s="399" t="s">
        <v>559</v>
      </c>
      <c r="D55" s="400">
        <f>+'NOTAS ESF'!D125</f>
        <v>6684000</v>
      </c>
      <c r="E55" s="400">
        <f>+'NOTAS ESF'!D125</f>
        <v>6684000</v>
      </c>
      <c r="F55" s="400">
        <f>+'NOTAS ESF'!Q125</f>
        <v>0</v>
      </c>
      <c r="G55" s="400">
        <f>+'NOTAS ESF'!Q125</f>
        <v>0</v>
      </c>
      <c r="H55" s="400">
        <f>+'NOTAS ESF'!AD125</f>
        <v>0</v>
      </c>
      <c r="I55" s="400">
        <f>+'NOTAS ESF'!AQ125</f>
        <v>0</v>
      </c>
      <c r="J55" s="400">
        <f>+'NOTAS ESF'!BD125</f>
        <v>0</v>
      </c>
      <c r="K55" s="378"/>
    </row>
    <row r="56" spans="1:11" hidden="1">
      <c r="A56" s="378"/>
      <c r="B56" s="542"/>
      <c r="C56" s="399"/>
      <c r="D56" s="400"/>
      <c r="E56" s="400"/>
      <c r="F56" s="400"/>
      <c r="G56" s="400"/>
      <c r="H56" s="400"/>
      <c r="I56" s="400"/>
      <c r="J56" s="400"/>
      <c r="K56" s="378"/>
    </row>
    <row r="57" spans="1:11" ht="13.5" thickBot="1">
      <c r="A57" s="401"/>
      <c r="B57" s="543"/>
      <c r="C57" s="395" t="s">
        <v>484</v>
      </c>
      <c r="D57" s="396">
        <f t="shared" ref="D57:J57" si="8">SUM(D44:D56)</f>
        <v>96533587.898499995</v>
      </c>
      <c r="E57" s="396">
        <f t="shared" si="8"/>
        <v>96533587.898499995</v>
      </c>
      <c r="F57" s="396">
        <f t="shared" si="8"/>
        <v>56952430.943000004</v>
      </c>
      <c r="G57" s="396">
        <f t="shared" si="8"/>
        <v>56952430.943000004</v>
      </c>
      <c r="H57" s="396">
        <f t="shared" si="8"/>
        <v>30887356.614</v>
      </c>
      <c r="I57" s="396">
        <f t="shared" si="8"/>
        <v>40696637.658759996</v>
      </c>
      <c r="J57" s="396">
        <f t="shared" si="8"/>
        <v>22240066.160666667</v>
      </c>
      <c r="K57" s="401"/>
    </row>
    <row r="58" spans="1:11" ht="14.25" thickTop="1" thickBot="1">
      <c r="A58" s="378"/>
      <c r="B58" s="548" t="s">
        <v>512</v>
      </c>
      <c r="C58" s="549"/>
      <c r="D58" s="408">
        <f t="shared" ref="D58:J58" si="9">+D43-D57</f>
        <v>47482915.91802001</v>
      </c>
      <c r="E58" s="408">
        <f t="shared" si="9"/>
        <v>47482915.91802001</v>
      </c>
      <c r="F58" s="408">
        <f t="shared" si="9"/>
        <v>17403283.876520053</v>
      </c>
      <c r="G58" s="408">
        <f t="shared" si="9"/>
        <v>-18924341.123479947</v>
      </c>
      <c r="H58" s="408">
        <f t="shared" si="9"/>
        <v>9186691.1359999999</v>
      </c>
      <c r="I58" s="408">
        <f t="shared" si="9"/>
        <v>3357791.4935199991</v>
      </c>
      <c r="J58" s="408">
        <f t="shared" si="9"/>
        <v>3066515.0000000335</v>
      </c>
      <c r="K58" s="378"/>
    </row>
    <row r="59" spans="1:11" ht="13.5" thickTop="1">
      <c r="A59" s="378"/>
      <c r="B59" s="532" t="s">
        <v>513</v>
      </c>
      <c r="C59" s="399" t="s">
        <v>514</v>
      </c>
      <c r="D59" s="400">
        <f>+ERI!S10</f>
        <v>370322671</v>
      </c>
      <c r="E59" s="400">
        <f>+ERI!S10</f>
        <v>370322671</v>
      </c>
      <c r="F59" s="400">
        <f>+ERI!AG10</f>
        <v>95609587</v>
      </c>
      <c r="G59" s="400">
        <f>+ERI!AG10</f>
        <v>95609587</v>
      </c>
      <c r="H59" s="400">
        <f>+ERI!AU10</f>
        <v>102813014</v>
      </c>
      <c r="I59" s="400">
        <f>+ERI!BI10</f>
        <v>47784225</v>
      </c>
      <c r="J59" s="400">
        <f>+ERI!BW10</f>
        <v>18444000</v>
      </c>
      <c r="K59" s="378"/>
    </row>
    <row r="60" spans="1:11">
      <c r="A60" s="378"/>
      <c r="B60" s="533"/>
      <c r="C60" s="399" t="s">
        <v>515</v>
      </c>
      <c r="D60" s="400">
        <f>+ERI!S15</f>
        <v>2492.75</v>
      </c>
      <c r="E60" s="400">
        <f>+ERI!S15</f>
        <v>2492.75</v>
      </c>
      <c r="F60" s="400">
        <f>+ERI!AG15</f>
        <v>2182</v>
      </c>
      <c r="G60" s="400">
        <f>+ERI!AG15</f>
        <v>2182</v>
      </c>
      <c r="H60" s="400">
        <f>+ERI!AU15</f>
        <v>200</v>
      </c>
      <c r="I60" s="400">
        <f>+ERI!BI15</f>
        <v>0</v>
      </c>
      <c r="J60" s="400">
        <f>+ERI!BW15</f>
        <v>0</v>
      </c>
      <c r="K60" s="378"/>
    </row>
    <row r="61" spans="1:11" hidden="1">
      <c r="A61" s="378"/>
      <c r="B61" s="533"/>
      <c r="C61" s="399"/>
      <c r="D61" s="400"/>
      <c r="E61" s="400"/>
      <c r="F61" s="400"/>
      <c r="G61" s="400"/>
      <c r="H61" s="400"/>
      <c r="I61" s="400"/>
      <c r="J61" s="400"/>
      <c r="K61" s="378"/>
    </row>
    <row r="62" spans="1:11" ht="13.5" thickBot="1">
      <c r="A62" s="378"/>
      <c r="B62" s="533"/>
      <c r="C62" s="410" t="s">
        <v>516</v>
      </c>
      <c r="D62" s="411">
        <f t="shared" ref="D62:E62" si="10">+D59+D60</f>
        <v>370325163.75</v>
      </c>
      <c r="E62" s="411">
        <f t="shared" si="10"/>
        <v>370325163.75</v>
      </c>
      <c r="F62" s="411">
        <f t="shared" ref="F62:J62" si="11">+F59+F60</f>
        <v>95611769</v>
      </c>
      <c r="G62" s="411">
        <f t="shared" si="11"/>
        <v>95611769</v>
      </c>
      <c r="H62" s="411">
        <f t="shared" si="11"/>
        <v>102813214</v>
      </c>
      <c r="I62" s="411">
        <f t="shared" si="11"/>
        <v>47784225</v>
      </c>
      <c r="J62" s="411">
        <f t="shared" si="11"/>
        <v>18444000</v>
      </c>
      <c r="K62" s="378"/>
    </row>
    <row r="63" spans="1:11" ht="14.25" thickTop="1" thickBot="1">
      <c r="A63" s="378"/>
      <c r="B63" s="548" t="s">
        <v>517</v>
      </c>
      <c r="C63" s="549"/>
      <c r="D63" s="408">
        <f t="shared" ref="D63:E63" si="12">+D62</f>
        <v>370325163.75</v>
      </c>
      <c r="E63" s="408">
        <f t="shared" si="12"/>
        <v>370325163.75</v>
      </c>
      <c r="F63" s="408">
        <f t="shared" ref="F63:J63" si="13">+F62</f>
        <v>95611769</v>
      </c>
      <c r="G63" s="408">
        <f t="shared" si="13"/>
        <v>95611769</v>
      </c>
      <c r="H63" s="408">
        <f t="shared" si="13"/>
        <v>102813214</v>
      </c>
      <c r="I63" s="408">
        <f t="shared" si="13"/>
        <v>47784225</v>
      </c>
      <c r="J63" s="408">
        <f t="shared" si="13"/>
        <v>18444000</v>
      </c>
      <c r="K63" s="378"/>
    </row>
    <row r="64" spans="1:11" ht="13.5" hidden="1" thickTop="1">
      <c r="A64" s="378"/>
      <c r="B64" s="533" t="s">
        <v>518</v>
      </c>
      <c r="C64" s="409" t="s">
        <v>519</v>
      </c>
      <c r="D64" s="398"/>
      <c r="E64" s="398"/>
      <c r="F64" s="398"/>
      <c r="G64" s="398"/>
      <c r="H64" s="398"/>
      <c r="I64" s="400"/>
      <c r="J64" s="400"/>
      <c r="K64" s="378"/>
    </row>
    <row r="65" spans="1:12" ht="13.5" thickTop="1">
      <c r="A65" s="378"/>
      <c r="B65" s="533"/>
      <c r="C65" s="412" t="s">
        <v>520</v>
      </c>
      <c r="D65" s="489">
        <f>+ERI!S26</f>
        <v>307545073</v>
      </c>
      <c r="E65" s="413">
        <f>+ERI!S26</f>
        <v>307545073</v>
      </c>
      <c r="F65" s="489">
        <f>+ERI!AG26</f>
        <v>79716728.819999993</v>
      </c>
      <c r="G65" s="413">
        <f>+ERI!AG26</f>
        <v>79716728.819999993</v>
      </c>
      <c r="H65" s="413">
        <f>+ERI!AU26</f>
        <v>90396886.310000002</v>
      </c>
      <c r="I65" s="400">
        <f>+ERI!BI26</f>
        <v>47493788.506479949</v>
      </c>
      <c r="J65" s="400" t="e">
        <f>+ERI!BW26</f>
        <v>#REF!</v>
      </c>
      <c r="K65" s="378"/>
    </row>
    <row r="66" spans="1:12" hidden="1">
      <c r="A66" s="378"/>
      <c r="B66" s="533"/>
      <c r="C66" s="412"/>
      <c r="D66" s="413"/>
      <c r="E66" s="413"/>
      <c r="F66" s="413"/>
      <c r="G66" s="413"/>
      <c r="H66" s="413"/>
      <c r="I66" s="400"/>
      <c r="J66" s="400"/>
      <c r="K66" s="378"/>
    </row>
    <row r="67" spans="1:12">
      <c r="A67" s="378"/>
      <c r="B67" s="533"/>
      <c r="C67" s="412" t="s">
        <v>521</v>
      </c>
      <c r="D67" s="413">
        <f>+ERI!S40</f>
        <v>13660656.84</v>
      </c>
      <c r="E67" s="413">
        <f>+ERI!S40</f>
        <v>13660656.84</v>
      </c>
      <c r="F67" s="413">
        <f>+ERI!AG40</f>
        <v>3254129</v>
      </c>
      <c r="G67" s="413">
        <f>+ERI!AG40</f>
        <v>3254129</v>
      </c>
      <c r="H67" s="413">
        <f>+ERI!AU40</f>
        <v>3448789.05</v>
      </c>
      <c r="I67" s="400">
        <f>+ERI!BI40</f>
        <v>0</v>
      </c>
      <c r="J67" s="400">
        <f>+ERI!BW40</f>
        <v>0</v>
      </c>
      <c r="K67" s="414"/>
    </row>
    <row r="68" spans="1:12">
      <c r="A68" s="378"/>
      <c r="B68" s="533"/>
      <c r="C68" s="399"/>
      <c r="D68" s="503">
        <v>31600000</v>
      </c>
      <c r="E68" s="400"/>
      <c r="F68" s="503"/>
      <c r="G68" s="400"/>
      <c r="H68" s="400"/>
      <c r="I68" s="400"/>
      <c r="J68" s="400"/>
      <c r="K68" s="378"/>
    </row>
    <row r="69" spans="1:12" ht="12" hidden="1" customHeight="1">
      <c r="A69" s="378"/>
      <c r="B69" s="533"/>
      <c r="C69" s="399"/>
      <c r="D69" s="400"/>
      <c r="E69" s="400"/>
      <c r="F69" s="400"/>
      <c r="G69" s="400"/>
      <c r="H69" s="400"/>
      <c r="I69" s="400"/>
      <c r="J69" s="400"/>
      <c r="K69" s="414"/>
    </row>
    <row r="70" spans="1:12" ht="13.5" thickBot="1">
      <c r="A70" s="378"/>
      <c r="B70" s="533"/>
      <c r="C70" s="410" t="s">
        <v>522</v>
      </c>
      <c r="D70" s="411">
        <f>SUM(D65:D69)</f>
        <v>352805729.83999997</v>
      </c>
      <c r="E70" s="411">
        <f>SUM(E65:E69)</f>
        <v>321205729.83999997</v>
      </c>
      <c r="F70" s="411">
        <f>SUM(F65:F69)</f>
        <v>82970857.819999993</v>
      </c>
      <c r="G70" s="411">
        <f t="shared" ref="G70:J70" si="14">SUM(G65:G69)</f>
        <v>82970857.819999993</v>
      </c>
      <c r="H70" s="411">
        <f t="shared" si="14"/>
        <v>93845675.359999999</v>
      </c>
      <c r="I70" s="411">
        <f t="shared" si="14"/>
        <v>47493788.506479949</v>
      </c>
      <c r="J70" s="411" t="e">
        <f t="shared" si="14"/>
        <v>#REF!</v>
      </c>
      <c r="K70" s="378"/>
    </row>
    <row r="71" spans="1:12" ht="14.25" thickTop="1" thickBot="1">
      <c r="A71" s="378"/>
      <c r="B71" s="548" t="s">
        <v>523</v>
      </c>
      <c r="C71" s="549"/>
      <c r="D71" s="408">
        <f>+D70</f>
        <v>352805729.83999997</v>
      </c>
      <c r="E71" s="408">
        <f t="shared" ref="E71" si="15">+E70</f>
        <v>321205729.83999997</v>
      </c>
      <c r="F71" s="408">
        <f>+F70</f>
        <v>82970857.819999993</v>
      </c>
      <c r="G71" s="408">
        <f t="shared" ref="G71:J71" si="16">+G70</f>
        <v>82970857.819999993</v>
      </c>
      <c r="H71" s="408">
        <f t="shared" si="16"/>
        <v>93845675.359999999</v>
      </c>
      <c r="I71" s="408">
        <f t="shared" si="16"/>
        <v>47493788.506479949</v>
      </c>
      <c r="J71" s="408" t="e">
        <f t="shared" si="16"/>
        <v>#REF!</v>
      </c>
      <c r="K71" s="378"/>
    </row>
    <row r="72" spans="1:12" ht="14.25" thickTop="1" thickBot="1">
      <c r="A72" s="378"/>
      <c r="B72" s="539" t="s">
        <v>524</v>
      </c>
      <c r="C72" s="540"/>
      <c r="D72" s="415">
        <f>+D63-D70</f>
        <v>17519433.910000026</v>
      </c>
      <c r="E72" s="415">
        <f t="shared" ref="E72" si="17">+E63-E70</f>
        <v>49119433.910000026</v>
      </c>
      <c r="F72" s="415">
        <f>+F63-F70</f>
        <v>12640911.180000007</v>
      </c>
      <c r="G72" s="415">
        <f t="shared" ref="G72:J72" si="18">+G63-G70</f>
        <v>12640911.180000007</v>
      </c>
      <c r="H72" s="415">
        <f t="shared" si="18"/>
        <v>8967538.6400000006</v>
      </c>
      <c r="I72" s="415">
        <f t="shared" si="18"/>
        <v>290436.49352005124</v>
      </c>
      <c r="J72" s="416" t="e">
        <f t="shared" si="18"/>
        <v>#REF!</v>
      </c>
      <c r="K72" s="417" t="s">
        <v>525</v>
      </c>
    </row>
    <row r="73" spans="1:12" ht="14.25" hidden="1" thickTop="1" thickBot="1">
      <c r="A73" s="378"/>
      <c r="B73" s="551" t="s">
        <v>526</v>
      </c>
      <c r="C73" s="552"/>
      <c r="D73" s="418"/>
      <c r="E73" s="418"/>
      <c r="F73" s="418"/>
      <c r="G73" s="418"/>
      <c r="H73" s="418"/>
      <c r="I73" s="418"/>
      <c r="J73" s="418">
        <v>0</v>
      </c>
      <c r="K73" s="378"/>
    </row>
    <row r="74" spans="1:12" ht="14.25" hidden="1" thickTop="1" thickBot="1">
      <c r="A74" s="378"/>
      <c r="B74" s="553" t="s">
        <v>527</v>
      </c>
      <c r="C74" s="399" t="s">
        <v>528</v>
      </c>
      <c r="D74" s="400"/>
      <c r="E74" s="400"/>
      <c r="F74" s="400"/>
      <c r="G74" s="400"/>
      <c r="H74" s="400"/>
      <c r="I74" s="400"/>
      <c r="J74" s="400">
        <v>0</v>
      </c>
      <c r="K74" s="378"/>
    </row>
    <row r="75" spans="1:12" ht="14.25" hidden="1" thickTop="1" thickBot="1">
      <c r="A75" s="378"/>
      <c r="B75" s="554"/>
      <c r="C75" s="399" t="s">
        <v>529</v>
      </c>
      <c r="D75" s="400"/>
      <c r="E75" s="400"/>
      <c r="F75" s="400"/>
      <c r="G75" s="400"/>
      <c r="H75" s="400"/>
      <c r="I75" s="400"/>
      <c r="J75" s="400">
        <v>0</v>
      </c>
      <c r="K75" s="419"/>
    </row>
    <row r="76" spans="1:12" ht="14.25" hidden="1" thickTop="1" thickBot="1">
      <c r="A76" s="378"/>
      <c r="B76" s="555" t="s">
        <v>530</v>
      </c>
      <c r="C76" s="556"/>
      <c r="D76" s="420"/>
      <c r="E76" s="420"/>
      <c r="F76" s="420"/>
      <c r="G76" s="420"/>
      <c r="H76" s="420"/>
      <c r="I76" s="420"/>
      <c r="J76" s="421">
        <f>+J74-J75</f>
        <v>0</v>
      </c>
      <c r="K76" s="378"/>
    </row>
    <row r="77" spans="1:12" ht="13.5" thickTop="1">
      <c r="A77" s="378"/>
      <c r="B77" s="557" t="s">
        <v>531</v>
      </c>
      <c r="C77" s="422" t="s">
        <v>532</v>
      </c>
      <c r="D77" s="423">
        <f>+D72*35%</f>
        <v>6131801.8685000092</v>
      </c>
      <c r="E77" s="424">
        <f>+E72*35%</f>
        <v>17191801.868500009</v>
      </c>
      <c r="F77" s="506">
        <f>+F72*35%</f>
        <v>4424318.9130000025</v>
      </c>
      <c r="G77" s="424">
        <f>+G72*35%</f>
        <v>4424318.9130000025</v>
      </c>
      <c r="H77" s="424">
        <f>+H72*35%</f>
        <v>3138638.5240000002</v>
      </c>
      <c r="I77" s="424">
        <f t="shared" ref="I77" si="19">+I72*35%</f>
        <v>101652.77273201793</v>
      </c>
      <c r="J77" s="424" t="e">
        <f>+J72*31%</f>
        <v>#REF!</v>
      </c>
      <c r="K77" s="509">
        <f>+F77*36%+F77</f>
        <v>6017073.7216800032</v>
      </c>
      <c r="L77" s="425">
        <f>+K77-D77</f>
        <v>-114728.14682000596</v>
      </c>
    </row>
    <row r="78" spans="1:12">
      <c r="A78" s="378"/>
      <c r="B78" s="558"/>
      <c r="C78" s="399" t="s">
        <v>533</v>
      </c>
      <c r="D78" s="398">
        <f>+'NOTAS ESF'!D48</f>
        <v>1604000</v>
      </c>
      <c r="E78" s="398">
        <f>+'NOTAS ESF'!D48</f>
        <v>1604000</v>
      </c>
      <c r="F78" s="507">
        <f>+H81</f>
        <v>1857000</v>
      </c>
      <c r="G78" s="398">
        <f>+H81</f>
        <v>1857000</v>
      </c>
      <c r="H78" s="398">
        <f>+I81</f>
        <v>1906000</v>
      </c>
      <c r="I78" s="398">
        <f>+J81</f>
        <v>135000</v>
      </c>
      <c r="J78" s="398"/>
      <c r="K78" s="509">
        <f>+K77-E77</f>
        <v>-11174728.146820005</v>
      </c>
    </row>
    <row r="79" spans="1:12">
      <c r="A79" s="378"/>
      <c r="B79" s="558"/>
      <c r="C79" s="409" t="s">
        <v>534</v>
      </c>
      <c r="D79" s="490">
        <f>+'NOTAS ESF'!D50</f>
        <v>3708322</v>
      </c>
      <c r="E79" s="476">
        <f>+'NOTAS ESF'!D50</f>
        <v>3708322</v>
      </c>
      <c r="F79" s="507">
        <f>+'NOTAS ESF'!Q50</f>
        <v>3118800</v>
      </c>
      <c r="G79" s="476">
        <f>+'NOTAS ESF'!Q50</f>
        <v>3118800</v>
      </c>
      <c r="H79" s="476">
        <f>+'NOTAS ESF'!AD50</f>
        <v>1958400</v>
      </c>
      <c r="I79" s="398">
        <f>+'NOTAS ESF'!AQ50</f>
        <v>1490500</v>
      </c>
      <c r="J79" s="398">
        <f>+'NOTAS ESF'!BD50</f>
        <v>317780</v>
      </c>
      <c r="K79" s="426"/>
    </row>
    <row r="80" spans="1:12">
      <c r="A80" s="378"/>
      <c r="B80" s="558"/>
      <c r="C80" s="409" t="s">
        <v>555</v>
      </c>
      <c r="D80" s="476">
        <f>+'NOTAS ESF'!D51</f>
        <v>4073548.6940000001</v>
      </c>
      <c r="E80" s="476">
        <f>+'NOTAS ESF'!D51</f>
        <v>4073548.6940000001</v>
      </c>
      <c r="F80" s="507">
        <f>+'NOTAS ESF'!Q51</f>
        <v>1051704.6939999999</v>
      </c>
      <c r="G80" s="476">
        <f>+'NOTAS ESF'!Q51</f>
        <v>1051704.6939999999</v>
      </c>
      <c r="H80" s="476">
        <f>+'NOTAS ESF'!AD51</f>
        <v>1130943.3060000001</v>
      </c>
      <c r="I80" s="398">
        <f>+'NOTAS ESF'!AQ51</f>
        <v>382274</v>
      </c>
      <c r="J80" s="398">
        <f>+'NOTAS ESF'!BD51</f>
        <v>148000</v>
      </c>
      <c r="K80" s="426"/>
    </row>
    <row r="81" spans="1:11" ht="13.5" thickBot="1">
      <c r="A81" s="378"/>
      <c r="B81" s="558"/>
      <c r="C81" s="399" t="s">
        <v>535</v>
      </c>
      <c r="D81" s="477"/>
      <c r="E81" s="477"/>
      <c r="F81" s="508">
        <f>+F79+F80+F78-F77</f>
        <v>1603185.7809999976</v>
      </c>
      <c r="G81" s="477"/>
      <c r="H81" s="477">
        <v>1857000</v>
      </c>
      <c r="I81" s="400">
        <v>1906000</v>
      </c>
      <c r="J81" s="400">
        <v>135000</v>
      </c>
      <c r="K81" s="378"/>
    </row>
    <row r="82" spans="1:11" ht="13.5" hidden="1" thickBot="1">
      <c r="A82" s="378"/>
      <c r="B82" s="558"/>
      <c r="C82" s="399" t="s">
        <v>536</v>
      </c>
      <c r="D82" s="477"/>
      <c r="E82" s="477"/>
      <c r="F82" s="477"/>
      <c r="G82" s="477"/>
      <c r="H82" s="477"/>
      <c r="I82" s="400">
        <v>0</v>
      </c>
      <c r="J82" s="400">
        <v>0</v>
      </c>
      <c r="K82" s="378"/>
    </row>
    <row r="83" spans="1:11" ht="13.5" hidden="1" thickBot="1">
      <c r="A83" s="378"/>
      <c r="B83" s="558"/>
      <c r="C83" s="399" t="s">
        <v>537</v>
      </c>
      <c r="D83" s="477"/>
      <c r="E83" s="477"/>
      <c r="F83" s="477"/>
      <c r="G83" s="477"/>
      <c r="H83" s="477"/>
      <c r="I83" s="400">
        <v>0</v>
      </c>
      <c r="J83" s="400">
        <v>0</v>
      </c>
    </row>
    <row r="84" spans="1:11" ht="13.5" hidden="1" thickBot="1">
      <c r="A84" s="378"/>
      <c r="B84" s="559"/>
      <c r="C84" s="427" t="s">
        <v>538</v>
      </c>
      <c r="D84" s="428">
        <v>0</v>
      </c>
      <c r="E84" s="428">
        <v>0</v>
      </c>
      <c r="F84" s="428">
        <v>0</v>
      </c>
      <c r="G84" s="428">
        <v>0</v>
      </c>
      <c r="H84" s="428">
        <v>0</v>
      </c>
      <c r="I84" s="428">
        <v>0</v>
      </c>
      <c r="J84" s="429">
        <v>0</v>
      </c>
      <c r="K84" s="378"/>
    </row>
    <row r="85" spans="1:11" ht="13.5" thickTop="1">
      <c r="A85" s="430"/>
      <c r="B85" s="560" t="s">
        <v>539</v>
      </c>
      <c r="C85" s="561"/>
      <c r="D85" s="564">
        <f>+D77-D78-D79-D80+D81+D82+D84</f>
        <v>-3254068.825499991</v>
      </c>
      <c r="E85" s="564">
        <f>+E77-E78-E79-E80+E81+E82+E84</f>
        <v>7805931.174500009</v>
      </c>
      <c r="F85" s="564">
        <f>+F77-F78-F79-F80+F81+F82+F84</f>
        <v>2.3283064365386963E-10</v>
      </c>
      <c r="G85" s="564">
        <f>+G77-G78-G79-G80+G81+G82+G84</f>
        <v>-1603185.7809999974</v>
      </c>
      <c r="H85" s="566">
        <v>0</v>
      </c>
      <c r="I85" s="566">
        <v>0</v>
      </c>
      <c r="J85" s="566">
        <v>0</v>
      </c>
      <c r="K85" s="431"/>
    </row>
    <row r="86" spans="1:11">
      <c r="A86" s="383"/>
      <c r="B86" s="562"/>
      <c r="C86" s="563"/>
      <c r="D86" s="565"/>
      <c r="E86" s="565"/>
      <c r="F86" s="565"/>
      <c r="G86" s="565"/>
      <c r="H86" s="567"/>
      <c r="I86" s="567"/>
      <c r="J86" s="567"/>
      <c r="K86" s="432"/>
    </row>
    <row r="87" spans="1:11" ht="15.75" hidden="1" customHeight="1">
      <c r="A87" s="401"/>
      <c r="B87" s="568" t="s">
        <v>540</v>
      </c>
      <c r="C87" s="568"/>
      <c r="D87" s="433"/>
      <c r="E87" s="433"/>
      <c r="F87" s="433"/>
      <c r="G87" s="433"/>
      <c r="H87" s="433"/>
      <c r="I87" s="434"/>
      <c r="J87" s="434"/>
      <c r="K87" s="401"/>
    </row>
    <row r="88" spans="1:11" ht="15" hidden="1" customHeight="1" thickBot="1">
      <c r="A88" s="401"/>
      <c r="B88" s="550" t="s">
        <v>541</v>
      </c>
      <c r="C88" s="550"/>
      <c r="D88" s="435"/>
      <c r="E88" s="435"/>
      <c r="F88" s="435"/>
      <c r="G88" s="435"/>
      <c r="H88" s="435"/>
      <c r="I88" s="436"/>
      <c r="J88" s="436"/>
      <c r="K88" s="401"/>
    </row>
    <row r="89" spans="1:11">
      <c r="A89" s="378"/>
      <c r="B89" s="378"/>
      <c r="C89" s="378"/>
      <c r="D89" s="379"/>
      <c r="E89" s="379"/>
      <c r="F89" s="379"/>
      <c r="G89" s="379"/>
      <c r="H89" s="379"/>
      <c r="I89" s="379"/>
      <c r="J89" s="379"/>
      <c r="K89" s="378"/>
    </row>
  </sheetData>
  <mergeCells count="33">
    <mergeCell ref="G85:G86"/>
    <mergeCell ref="H85:H86"/>
    <mergeCell ref="I85:I86"/>
    <mergeCell ref="J85:J86"/>
    <mergeCell ref="B87:C87"/>
    <mergeCell ref="F85:F86"/>
    <mergeCell ref="D85:D86"/>
    <mergeCell ref="E85:E86"/>
    <mergeCell ref="B88:C88"/>
    <mergeCell ref="B73:C73"/>
    <mergeCell ref="B74:B75"/>
    <mergeCell ref="B76:C76"/>
    <mergeCell ref="B77:B84"/>
    <mergeCell ref="B85:C86"/>
    <mergeCell ref="B72:C72"/>
    <mergeCell ref="B16:B21"/>
    <mergeCell ref="B22:B24"/>
    <mergeCell ref="B25:B34"/>
    <mergeCell ref="B35:B40"/>
    <mergeCell ref="B43:C43"/>
    <mergeCell ref="B44:B57"/>
    <mergeCell ref="B41:B42"/>
    <mergeCell ref="B58:C58"/>
    <mergeCell ref="B59:B62"/>
    <mergeCell ref="B63:C63"/>
    <mergeCell ref="B64:B70"/>
    <mergeCell ref="B71:C71"/>
    <mergeCell ref="B12:B15"/>
    <mergeCell ref="B3:J3"/>
    <mergeCell ref="B4:J4"/>
    <mergeCell ref="B5:J5"/>
    <mergeCell ref="B7:C7"/>
    <mergeCell ref="B9:B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A11"/>
  <sheetViews>
    <sheetView showGridLines="0" zoomScale="90" zoomScaleNormal="90" workbookViewId="0">
      <selection activeCell="F9" sqref="F9"/>
    </sheetView>
  </sheetViews>
  <sheetFormatPr baseColWidth="10" defaultColWidth="11.42578125" defaultRowHeight="15"/>
  <cols>
    <col min="1" max="1" width="8.5703125" style="343" customWidth="1"/>
    <col min="2" max="2" width="58.42578125" style="343" customWidth="1"/>
    <col min="3" max="5" width="18" style="351" hidden="1" customWidth="1"/>
    <col min="6" max="6" width="14.85546875" style="343" customWidth="1"/>
    <col min="7" max="7" width="11.42578125" style="343"/>
    <col min="8" max="8" width="12.42578125" style="343" bestFit="1" customWidth="1"/>
    <col min="9" max="16384" width="11.42578125" style="343"/>
  </cols>
  <sheetData>
    <row r="2" spans="2:53" ht="20.25">
      <c r="B2" s="525" t="s">
        <v>0</v>
      </c>
      <c r="C2" s="525"/>
      <c r="D2" s="525"/>
      <c r="E2" s="525"/>
      <c r="F2" s="525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</row>
    <row r="3" spans="2:53">
      <c r="B3" s="530" t="s">
        <v>1</v>
      </c>
      <c r="C3" s="530"/>
      <c r="D3" s="530"/>
      <c r="E3" s="530"/>
      <c r="F3" s="530"/>
    </row>
    <row r="4" spans="2:53">
      <c r="B4" s="525" t="s">
        <v>461</v>
      </c>
      <c r="C4" s="525"/>
      <c r="D4" s="525"/>
      <c r="E4" s="525"/>
      <c r="F4" s="525"/>
    </row>
    <row r="5" spans="2:53" ht="16.5" thickBot="1">
      <c r="B5" s="344"/>
      <c r="C5" s="344"/>
      <c r="D5" s="344"/>
      <c r="E5" s="344"/>
    </row>
    <row r="6" spans="2:53" ht="16.5" thickBot="1">
      <c r="C6" s="526" t="s">
        <v>463</v>
      </c>
      <c r="D6" s="527"/>
      <c r="E6" s="528"/>
      <c r="F6" s="569" t="s">
        <v>371</v>
      </c>
    </row>
    <row r="7" spans="2:53" ht="18" customHeight="1" thickBot="1">
      <c r="B7" s="352" t="s">
        <v>392</v>
      </c>
      <c r="C7" s="353" t="s">
        <v>462</v>
      </c>
      <c r="D7" s="353" t="s">
        <v>170</v>
      </c>
      <c r="E7" s="353" t="s">
        <v>169</v>
      </c>
      <c r="F7" s="570"/>
    </row>
    <row r="8" spans="2:53">
      <c r="B8" s="354" t="s">
        <v>377</v>
      </c>
      <c r="C8" s="355">
        <v>0</v>
      </c>
      <c r="D8" s="355">
        <v>0</v>
      </c>
      <c r="E8" s="355">
        <f>6426000-216000-32400</f>
        <v>6177600</v>
      </c>
      <c r="F8" s="356">
        <v>0</v>
      </c>
    </row>
    <row r="9" spans="2:53">
      <c r="B9" s="346" t="s">
        <v>470</v>
      </c>
      <c r="C9" s="347">
        <f>559300-18800-2820+21314</f>
        <v>558994</v>
      </c>
      <c r="D9" s="347">
        <f t="shared" ref="D9:E9" si="0">559300-18800-2820</f>
        <v>537680</v>
      </c>
      <c r="E9" s="347">
        <f t="shared" si="0"/>
        <v>537680</v>
      </c>
      <c r="F9" s="356">
        <f>SUM(C9:E9)</f>
        <v>1634354</v>
      </c>
      <c r="H9" s="358"/>
    </row>
    <row r="10" spans="2:53">
      <c r="B10" s="346" t="s">
        <v>471</v>
      </c>
      <c r="C10" s="347"/>
      <c r="D10" s="347">
        <v>499800</v>
      </c>
      <c r="E10" s="347">
        <v>499800</v>
      </c>
      <c r="F10" s="356">
        <f t="shared" ref="F10" si="1">SUM(C10:E10)</f>
        <v>999600</v>
      </c>
    </row>
    <row r="11" spans="2:53" ht="16.5" thickBot="1">
      <c r="B11" s="349" t="s">
        <v>270</v>
      </c>
      <c r="C11" s="350">
        <f>SUM(C8:C10)</f>
        <v>558994</v>
      </c>
      <c r="D11" s="350">
        <f>SUM(D8:D10)</f>
        <v>1037480</v>
      </c>
      <c r="E11" s="350">
        <f>SUM(E8:E10)</f>
        <v>7215080</v>
      </c>
      <c r="F11" s="357">
        <f>SUM(F8:F10)</f>
        <v>2633954</v>
      </c>
    </row>
  </sheetData>
  <mergeCells count="5">
    <mergeCell ref="F6:F7"/>
    <mergeCell ref="C6:E6"/>
    <mergeCell ref="B4:F4"/>
    <mergeCell ref="B3:F3"/>
    <mergeCell ref="B2:F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BB13"/>
  <sheetViews>
    <sheetView showGridLines="0" zoomScale="90" zoomScaleNormal="90" workbookViewId="0">
      <selection activeCell="F12" sqref="F12"/>
    </sheetView>
  </sheetViews>
  <sheetFormatPr baseColWidth="10" defaultColWidth="11.42578125" defaultRowHeight="15"/>
  <cols>
    <col min="1" max="1" width="8.5703125" style="343" customWidth="1"/>
    <col min="2" max="2" width="58.42578125" style="343" customWidth="1"/>
    <col min="3" max="3" width="18" style="351" hidden="1" customWidth="1"/>
    <col min="4" max="6" width="18" style="351" customWidth="1"/>
    <col min="7" max="7" width="14.7109375" style="343" customWidth="1"/>
    <col min="8" max="8" width="11.42578125" style="343"/>
    <col min="9" max="9" width="12.42578125" style="343" bestFit="1" customWidth="1"/>
    <col min="10" max="16384" width="11.42578125" style="343"/>
  </cols>
  <sheetData>
    <row r="2" spans="2:54" ht="20.25">
      <c r="B2" s="531" t="s">
        <v>0</v>
      </c>
      <c r="C2" s="531"/>
      <c r="D2" s="531"/>
      <c r="E2" s="531"/>
      <c r="F2" s="531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</row>
    <row r="3" spans="2:54">
      <c r="B3" s="530" t="s">
        <v>1</v>
      </c>
      <c r="C3" s="530"/>
      <c r="D3" s="530"/>
      <c r="E3" s="530"/>
      <c r="F3" s="530"/>
    </row>
    <row r="4" spans="2:54">
      <c r="B4" s="531" t="s">
        <v>464</v>
      </c>
      <c r="C4" s="531"/>
      <c r="D4" s="531"/>
      <c r="E4" s="531"/>
      <c r="F4" s="531"/>
    </row>
    <row r="5" spans="2:54" ht="16.5" thickBot="1">
      <c r="B5" s="344"/>
      <c r="C5" s="344"/>
      <c r="D5" s="344"/>
      <c r="E5" s="344"/>
      <c r="F5" s="344"/>
    </row>
    <row r="6" spans="2:54" ht="16.5" thickBot="1">
      <c r="C6" s="494" t="s">
        <v>463</v>
      </c>
      <c r="D6" s="571" t="s">
        <v>463</v>
      </c>
      <c r="E6" s="572"/>
      <c r="F6" s="491" t="s">
        <v>595</v>
      </c>
      <c r="G6" s="569" t="s">
        <v>371</v>
      </c>
    </row>
    <row r="7" spans="2:54" ht="18" customHeight="1" thickBot="1">
      <c r="B7" s="352" t="s">
        <v>392</v>
      </c>
      <c r="C7" s="353" t="s">
        <v>462</v>
      </c>
      <c r="D7" s="353" t="s">
        <v>170</v>
      </c>
      <c r="E7" s="353" t="s">
        <v>169</v>
      </c>
      <c r="F7" s="353" t="s">
        <v>168</v>
      </c>
      <c r="G7" s="570"/>
    </row>
    <row r="8" spans="2:54">
      <c r="B8" s="354" t="s">
        <v>467</v>
      </c>
      <c r="C8" s="355">
        <v>0</v>
      </c>
      <c r="D8" s="355">
        <v>0</v>
      </c>
      <c r="E8" s="355">
        <v>44000</v>
      </c>
      <c r="F8" s="355">
        <v>44000</v>
      </c>
      <c r="G8" s="356">
        <f>SUM(C8:F8)</f>
        <v>88000</v>
      </c>
    </row>
    <row r="9" spans="2:54">
      <c r="B9" s="346" t="s">
        <v>474</v>
      </c>
      <c r="C9" s="347">
        <v>0</v>
      </c>
      <c r="D9" s="347">
        <v>0</v>
      </c>
      <c r="E9" s="347">
        <v>919999</v>
      </c>
      <c r="F9" s="347">
        <v>919999</v>
      </c>
      <c r="G9" s="356">
        <f>SUM(C9:F9)</f>
        <v>1839998</v>
      </c>
      <c r="I9" s="358"/>
    </row>
    <row r="10" spans="2:54">
      <c r="B10" s="346" t="s">
        <v>468</v>
      </c>
      <c r="C10" s="347"/>
      <c r="D10" s="347"/>
      <c r="E10" s="347">
        <v>4760000</v>
      </c>
      <c r="F10" s="347">
        <v>4760000</v>
      </c>
      <c r="G10" s="356">
        <f>SUM(C10:F10)</f>
        <v>9520000</v>
      </c>
      <c r="I10" s="358"/>
    </row>
    <row r="11" spans="2:54">
      <c r="B11" s="346" t="s">
        <v>469</v>
      </c>
      <c r="C11" s="347"/>
      <c r="D11" s="347">
        <v>762879</v>
      </c>
      <c r="E11" s="347">
        <v>594952</v>
      </c>
      <c r="F11" s="347">
        <v>757964</v>
      </c>
      <c r="G11" s="356">
        <f>SUM(C11:F11)</f>
        <v>2115795</v>
      </c>
    </row>
    <row r="12" spans="2:54">
      <c r="B12" s="364" t="s">
        <v>473</v>
      </c>
      <c r="C12" s="365"/>
      <c r="D12" s="365"/>
      <c r="E12" s="365">
        <v>637600</v>
      </c>
      <c r="F12" s="365">
        <v>637600</v>
      </c>
      <c r="G12" s="356">
        <f>SUM(C12:F12)</f>
        <v>1275200</v>
      </c>
    </row>
    <row r="13" spans="2:54" ht="16.5" thickBot="1">
      <c r="B13" s="349" t="s">
        <v>371</v>
      </c>
      <c r="C13" s="350">
        <f>SUM(C8:C11)</f>
        <v>0</v>
      </c>
      <c r="D13" s="350">
        <f>SUM(D8:D11)</f>
        <v>762879</v>
      </c>
      <c r="E13" s="350">
        <f>SUM(E8:E11)</f>
        <v>6318951</v>
      </c>
      <c r="F13" s="350">
        <f>SUM(F8:F11)</f>
        <v>6481963</v>
      </c>
      <c r="G13" s="357">
        <f>SUM(G8:G12)</f>
        <v>14838993</v>
      </c>
    </row>
  </sheetData>
  <mergeCells count="5">
    <mergeCell ref="B2:F2"/>
    <mergeCell ref="B3:F3"/>
    <mergeCell ref="B4:F4"/>
    <mergeCell ref="G6:G7"/>
    <mergeCell ref="D6:E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2"/>
  <sheetViews>
    <sheetView topLeftCell="A13" workbookViewId="0">
      <selection activeCell="E35" sqref="E35"/>
    </sheetView>
  </sheetViews>
  <sheetFormatPr baseColWidth="10" defaultColWidth="11" defaultRowHeight="15"/>
  <cols>
    <col min="1" max="1" width="5.5703125" customWidth="1"/>
    <col min="2" max="2" width="12.42578125" style="13" customWidth="1"/>
    <col min="3" max="3" width="38.140625" style="13" customWidth="1"/>
    <col min="4" max="4" width="14" style="13" customWidth="1"/>
    <col min="5" max="16384" width="11" style="13"/>
  </cols>
  <sheetData>
    <row r="1" spans="2:4" s="13" customFormat="1"/>
    <row r="2" spans="2:4" s="13" customFormat="1">
      <c r="B2" s="573" t="s">
        <v>343</v>
      </c>
      <c r="C2" s="574"/>
      <c r="D2" s="575"/>
    </row>
    <row r="3" spans="2:4" s="13" customFormat="1">
      <c r="B3" s="44" t="s">
        <v>344</v>
      </c>
      <c r="C3" s="44" t="s">
        <v>158</v>
      </c>
      <c r="D3" s="44" t="s">
        <v>345</v>
      </c>
    </row>
    <row r="4" spans="2:4" s="13" customFormat="1">
      <c r="B4" s="45">
        <v>44900</v>
      </c>
      <c r="C4" s="46" t="s">
        <v>346</v>
      </c>
      <c r="D4" s="38">
        <v>10000000</v>
      </c>
    </row>
    <row r="5" spans="2:4" s="13" customFormat="1">
      <c r="B5" s="45">
        <v>44924</v>
      </c>
      <c r="C5" s="46" t="s">
        <v>347</v>
      </c>
      <c r="D5" s="47">
        <v>3810000</v>
      </c>
    </row>
    <row r="6" spans="2:4" s="13" customFormat="1">
      <c r="B6" s="45">
        <v>44895</v>
      </c>
      <c r="C6" s="46" t="s">
        <v>348</v>
      </c>
      <c r="D6" s="47">
        <v>4350000</v>
      </c>
    </row>
    <row r="7" spans="2:4" s="13" customFormat="1">
      <c r="B7" s="45">
        <v>44907</v>
      </c>
      <c r="C7" s="46" t="s">
        <v>347</v>
      </c>
      <c r="D7" s="47">
        <v>420000</v>
      </c>
    </row>
    <row r="8" spans="2:4" s="13" customFormat="1">
      <c r="B8" s="45">
        <v>44993</v>
      </c>
      <c r="C8" s="46" t="s">
        <v>349</v>
      </c>
      <c r="D8" s="47">
        <v>200000</v>
      </c>
    </row>
    <row r="9" spans="2:4" s="13" customFormat="1">
      <c r="B9" s="45">
        <v>44985</v>
      </c>
      <c r="C9" s="46" t="s">
        <v>347</v>
      </c>
      <c r="D9" s="47">
        <v>3000000</v>
      </c>
    </row>
    <row r="10" spans="2:4" s="13" customFormat="1">
      <c r="B10" s="45">
        <v>44988</v>
      </c>
      <c r="C10" s="46" t="s">
        <v>347</v>
      </c>
      <c r="D10" s="47">
        <v>1350000</v>
      </c>
    </row>
    <row r="11" spans="2:4" s="13" customFormat="1">
      <c r="B11" s="45">
        <v>45008</v>
      </c>
      <c r="C11" s="46" t="s">
        <v>350</v>
      </c>
      <c r="D11" s="47">
        <v>600000</v>
      </c>
    </row>
    <row r="12" spans="2:4" s="13" customFormat="1">
      <c r="B12" s="45">
        <v>45010</v>
      </c>
      <c r="C12" s="46" t="s">
        <v>351</v>
      </c>
      <c r="D12" s="38">
        <v>10000000</v>
      </c>
    </row>
    <row r="13" spans="2:4" s="13" customFormat="1">
      <c r="B13" s="45">
        <v>45016</v>
      </c>
      <c r="C13" s="46" t="s">
        <v>348</v>
      </c>
      <c r="D13" s="38">
        <v>7500000</v>
      </c>
    </row>
    <row r="14" spans="2:4" s="13" customFormat="1">
      <c r="B14" s="45">
        <v>45051</v>
      </c>
      <c r="C14" s="46" t="s">
        <v>347</v>
      </c>
      <c r="D14" s="38">
        <v>2000000</v>
      </c>
    </row>
    <row r="15" spans="2:4" s="13" customFormat="1">
      <c r="B15" s="45">
        <v>45079</v>
      </c>
      <c r="C15" s="46" t="s">
        <v>347</v>
      </c>
      <c r="D15" s="38">
        <v>2000000</v>
      </c>
    </row>
    <row r="16" spans="2:4" s="13" customFormat="1">
      <c r="B16" s="45">
        <v>45100</v>
      </c>
      <c r="C16" s="46" t="s">
        <v>352</v>
      </c>
      <c r="D16" s="38">
        <v>500000</v>
      </c>
    </row>
    <row r="17" spans="2:4" s="13" customFormat="1">
      <c r="B17" s="45">
        <v>45117</v>
      </c>
      <c r="C17" s="46" t="s">
        <v>347</v>
      </c>
      <c r="D17" s="38">
        <v>1000000</v>
      </c>
    </row>
    <row r="18" spans="2:4" s="13" customFormat="1">
      <c r="B18" s="576" t="s">
        <v>353</v>
      </c>
      <c r="C18" s="576"/>
      <c r="D18" s="48">
        <v>-40700000</v>
      </c>
    </row>
    <row r="19" spans="2:4" s="13" customFormat="1">
      <c r="B19" s="49" t="s">
        <v>354</v>
      </c>
      <c r="C19" s="49" t="s">
        <v>355</v>
      </c>
      <c r="D19" s="50">
        <v>6000000</v>
      </c>
    </row>
    <row r="20" spans="2:4" s="13" customFormat="1">
      <c r="B20" s="51">
        <v>45170</v>
      </c>
      <c r="C20" s="49" t="s">
        <v>356</v>
      </c>
      <c r="D20" s="50">
        <v>1500000</v>
      </c>
    </row>
    <row r="21" spans="2:4" s="13" customFormat="1">
      <c r="B21" s="51" t="s">
        <v>357</v>
      </c>
      <c r="C21" s="49" t="s">
        <v>358</v>
      </c>
      <c r="D21" s="50">
        <v>4800000</v>
      </c>
    </row>
    <row r="22" spans="2:4" s="13" customFormat="1">
      <c r="B22" s="51">
        <v>45184</v>
      </c>
      <c r="C22" s="49" t="s">
        <v>359</v>
      </c>
      <c r="D22" s="50">
        <v>800000</v>
      </c>
    </row>
    <row r="23" spans="2:4" s="13" customFormat="1">
      <c r="B23" s="52" t="s">
        <v>360</v>
      </c>
      <c r="C23" s="53" t="s">
        <v>361</v>
      </c>
      <c r="D23" s="54">
        <v>-4000000</v>
      </c>
    </row>
    <row r="24" spans="2:4" s="13" customFormat="1">
      <c r="B24" s="51">
        <v>45432</v>
      </c>
      <c r="C24" s="49" t="s">
        <v>356</v>
      </c>
      <c r="D24" s="50">
        <v>1600000</v>
      </c>
    </row>
    <row r="25" spans="2:4" s="13" customFormat="1">
      <c r="B25" s="15" t="s">
        <v>362</v>
      </c>
      <c r="C25" s="53" t="s">
        <v>361</v>
      </c>
      <c r="D25" s="55">
        <v>-2000000</v>
      </c>
    </row>
    <row r="26" spans="2:4" s="13" customFormat="1">
      <c r="B26" s="15"/>
      <c r="C26" s="56" t="s">
        <v>363</v>
      </c>
      <c r="D26" s="57">
        <f>SUM(D4:D25)</f>
        <v>14730000</v>
      </c>
    </row>
    <row r="27" spans="2:4" s="13" customFormat="1"/>
    <row r="28" spans="2:4" s="13" customFormat="1">
      <c r="B28" s="573" t="s">
        <v>364</v>
      </c>
      <c r="C28" s="574"/>
      <c r="D28" s="575"/>
    </row>
    <row r="29" spans="2:4" s="13" customFormat="1">
      <c r="B29" s="44" t="s">
        <v>344</v>
      </c>
      <c r="C29" s="44" t="s">
        <v>158</v>
      </c>
      <c r="D29" s="44" t="s">
        <v>345</v>
      </c>
    </row>
    <row r="30" spans="2:4" s="13" customFormat="1">
      <c r="B30" s="45" t="s">
        <v>365</v>
      </c>
      <c r="C30" s="46" t="s">
        <v>366</v>
      </c>
      <c r="D30" s="58">
        <v>2700000</v>
      </c>
    </row>
    <row r="31" spans="2:4" s="13" customFormat="1">
      <c r="B31" s="15" t="s">
        <v>367</v>
      </c>
      <c r="C31" s="15" t="s">
        <v>368</v>
      </c>
      <c r="D31" s="59">
        <v>550000</v>
      </c>
    </row>
    <row r="32" spans="2:4" s="13" customFormat="1">
      <c r="B32" s="15"/>
      <c r="C32" s="60" t="s">
        <v>363</v>
      </c>
      <c r="D32" s="61">
        <f>SUM(D30:D31)</f>
        <v>3250000</v>
      </c>
    </row>
  </sheetData>
  <mergeCells count="3">
    <mergeCell ref="B2:D2"/>
    <mergeCell ref="B18:C18"/>
    <mergeCell ref="B28:D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XFC31"/>
  <sheetViews>
    <sheetView topLeftCell="A10" workbookViewId="0">
      <selection activeCell="D31" sqref="D31"/>
    </sheetView>
  </sheetViews>
  <sheetFormatPr baseColWidth="10" defaultColWidth="9.140625" defaultRowHeight="15"/>
  <cols>
    <col min="1" max="1" width="7.140625" customWidth="1"/>
    <col min="2" max="2" width="37.28515625" style="13" bestFit="1" customWidth="1"/>
    <col min="3" max="3" width="15.28515625" style="13" customWidth="1"/>
    <col min="4" max="4" width="13" style="13" customWidth="1"/>
    <col min="5" max="5" width="13.85546875" style="13" customWidth="1"/>
    <col min="6" max="16383" width="9.140625" style="13"/>
  </cols>
  <sheetData>
    <row r="1" spans="2:5" s="13" customFormat="1">
      <c r="B1" s="19" t="s">
        <v>369</v>
      </c>
      <c r="C1" s="20"/>
    </row>
    <row r="2" spans="2:5" s="13" customFormat="1"/>
    <row r="3" spans="2:5" s="13" customFormat="1">
      <c r="B3" s="21" t="s">
        <v>426</v>
      </c>
      <c r="C3" s="22" t="s">
        <v>345</v>
      </c>
      <c r="D3" s="22" t="s">
        <v>370</v>
      </c>
      <c r="E3" s="23" t="s">
        <v>371</v>
      </c>
    </row>
    <row r="4" spans="2:5" s="13" customFormat="1">
      <c r="B4" s="25" t="s">
        <v>422</v>
      </c>
      <c r="C4" s="26">
        <v>1260000</v>
      </c>
      <c r="D4" s="26">
        <f>+C4*19%</f>
        <v>239400</v>
      </c>
      <c r="E4" s="27">
        <f>+C4+D4</f>
        <v>1499400</v>
      </c>
    </row>
    <row r="5" spans="2:5" s="13" customFormat="1">
      <c r="B5" s="25" t="s">
        <v>423</v>
      </c>
      <c r="C5" s="26">
        <v>840000</v>
      </c>
      <c r="D5" s="26">
        <f t="shared" ref="D5:D6" si="0">+C5*19%</f>
        <v>159600</v>
      </c>
      <c r="E5" s="27">
        <f t="shared" ref="E5:E6" si="1">+C5+D5</f>
        <v>999600</v>
      </c>
    </row>
    <row r="6" spans="2:5" s="13" customFormat="1">
      <c r="B6" s="28" t="s">
        <v>424</v>
      </c>
      <c r="C6" s="29">
        <v>5400000</v>
      </c>
      <c r="D6" s="26">
        <f t="shared" si="0"/>
        <v>1026000</v>
      </c>
      <c r="E6" s="27">
        <f t="shared" si="1"/>
        <v>6426000</v>
      </c>
    </row>
    <row r="7" spans="2:5" s="13" customFormat="1">
      <c r="C7" s="31">
        <f>SUM(C4:C6)</f>
        <v>7500000</v>
      </c>
      <c r="D7" s="31">
        <f t="shared" ref="D7:E7" si="2">SUM(D4:D6)</f>
        <v>1425000</v>
      </c>
      <c r="E7" s="31">
        <f t="shared" si="2"/>
        <v>8925000</v>
      </c>
    </row>
    <row r="8" spans="2:5" s="13" customFormat="1"/>
    <row r="9" spans="2:5" s="13" customFormat="1">
      <c r="B9" s="577" t="s">
        <v>427</v>
      </c>
      <c r="C9" s="578"/>
      <c r="D9" s="19"/>
      <c r="E9" s="19"/>
    </row>
    <row r="10" spans="2:5" s="13" customFormat="1">
      <c r="B10" s="24" t="s">
        <v>425</v>
      </c>
      <c r="C10" s="32">
        <v>1624086</v>
      </c>
      <c r="E10" s="33"/>
    </row>
    <row r="11" spans="2:5" s="13" customFormat="1">
      <c r="B11" s="25" t="s">
        <v>428</v>
      </c>
      <c r="C11" s="27">
        <v>3609367</v>
      </c>
      <c r="D11" s="34"/>
      <c r="E11" s="33"/>
    </row>
    <row r="12" spans="2:5" s="13" customFormat="1">
      <c r="B12" s="25" t="s">
        <v>429</v>
      </c>
      <c r="C12" s="27">
        <v>812386</v>
      </c>
      <c r="E12" s="33"/>
    </row>
    <row r="13" spans="2:5" s="13" customFormat="1">
      <c r="B13" s="25" t="s">
        <v>430</v>
      </c>
      <c r="C13" s="27">
        <v>637600</v>
      </c>
      <c r="E13" s="33"/>
    </row>
    <row r="14" spans="2:5" s="13" customFormat="1">
      <c r="B14" s="28" t="s">
        <v>372</v>
      </c>
      <c r="C14" s="30">
        <v>40000</v>
      </c>
      <c r="E14" s="35"/>
    </row>
    <row r="15" spans="2:5" s="13" customFormat="1">
      <c r="C15" s="31">
        <f>SUM(C10:C14)</f>
        <v>6723439</v>
      </c>
      <c r="E15" s="36"/>
    </row>
    <row r="16" spans="2:5" s="13" customFormat="1">
      <c r="C16" s="36"/>
    </row>
    <row r="17" spans="2:6" s="13" customFormat="1" ht="15.75" thickBot="1">
      <c r="C17" s="36"/>
    </row>
    <row r="18" spans="2:6" s="13" customFormat="1">
      <c r="B18" s="37" t="s">
        <v>373</v>
      </c>
      <c r="C18" s="37" t="s">
        <v>374</v>
      </c>
      <c r="D18" s="37" t="s">
        <v>375</v>
      </c>
      <c r="E18" s="37" t="s">
        <v>431</v>
      </c>
    </row>
    <row r="19" spans="2:6" s="13" customFormat="1">
      <c r="B19" s="307" t="s">
        <v>376</v>
      </c>
      <c r="C19" s="308">
        <v>420000</v>
      </c>
      <c r="D19" s="26">
        <v>79800</v>
      </c>
      <c r="E19" s="309">
        <f>+C19+D19</f>
        <v>499800</v>
      </c>
    </row>
    <row r="20" spans="2:6" s="13" customFormat="1">
      <c r="B20" s="307" t="s">
        <v>377</v>
      </c>
      <c r="C20" s="26">
        <v>5400000</v>
      </c>
      <c r="D20" s="26">
        <v>1026000</v>
      </c>
      <c r="E20" s="309">
        <f t="shared" ref="E20:E22" si="3">+C20+D20</f>
        <v>6426000</v>
      </c>
    </row>
    <row r="21" spans="2:6" s="13" customFormat="1">
      <c r="B21" s="307" t="s">
        <v>378</v>
      </c>
      <c r="C21" s="38">
        <v>620000</v>
      </c>
      <c r="D21" s="26">
        <v>117800</v>
      </c>
      <c r="E21" s="309">
        <f t="shared" si="3"/>
        <v>737800</v>
      </c>
    </row>
    <row r="22" spans="2:6" s="13" customFormat="1">
      <c r="B22" s="307" t="s">
        <v>379</v>
      </c>
      <c r="C22" s="38">
        <v>470000</v>
      </c>
      <c r="D22" s="26">
        <v>89300</v>
      </c>
      <c r="E22" s="309">
        <f t="shared" si="3"/>
        <v>559300</v>
      </c>
    </row>
    <row r="23" spans="2:6" s="13" customFormat="1">
      <c r="C23" s="31">
        <f>SUM(C19:C22)</f>
        <v>6910000</v>
      </c>
      <c r="D23" s="31">
        <f t="shared" ref="D23:E23" si="4">SUM(D19:D22)</f>
        <v>1312900</v>
      </c>
      <c r="E23" s="31">
        <f t="shared" si="4"/>
        <v>8222900</v>
      </c>
    </row>
    <row r="24" spans="2:6" s="13" customFormat="1"/>
    <row r="25" spans="2:6" s="13" customFormat="1">
      <c r="B25" s="37" t="s">
        <v>380</v>
      </c>
    </row>
    <row r="26" spans="2:6" s="13" customFormat="1">
      <c r="B26" s="39" t="s">
        <v>381</v>
      </c>
      <c r="C26" s="40">
        <v>919999</v>
      </c>
      <c r="F26" s="306"/>
    </row>
    <row r="27" spans="2:6" s="13" customFormat="1">
      <c r="B27" s="25" t="s">
        <v>382</v>
      </c>
      <c r="C27" s="41">
        <v>3370000</v>
      </c>
    </row>
    <row r="28" spans="2:6" s="13" customFormat="1">
      <c r="B28" s="25" t="s">
        <v>372</v>
      </c>
      <c r="C28" s="41">
        <v>36000</v>
      </c>
    </row>
    <row r="29" spans="2:6" s="13" customFormat="1">
      <c r="B29" s="42" t="s">
        <v>383</v>
      </c>
      <c r="C29" s="41">
        <v>815000</v>
      </c>
    </row>
    <row r="30" spans="2:6" s="13" customFormat="1">
      <c r="B30" s="28" t="s">
        <v>384</v>
      </c>
      <c r="C30" s="43">
        <v>202300</v>
      </c>
    </row>
    <row r="31" spans="2:6" s="13" customFormat="1">
      <c r="C31" s="31">
        <f>SUM(C26:C30)</f>
        <v>5343299</v>
      </c>
    </row>
  </sheetData>
  <mergeCells count="1">
    <mergeCell ref="B9:C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I15"/>
  <sheetViews>
    <sheetView showGridLines="0" workbookViewId="0">
      <selection activeCell="D25" sqref="D25"/>
    </sheetView>
  </sheetViews>
  <sheetFormatPr baseColWidth="10" defaultColWidth="11" defaultRowHeight="15"/>
  <cols>
    <col min="1" max="1" width="11" style="13"/>
    <col min="2" max="2" width="15.7109375" style="13" customWidth="1"/>
    <col min="3" max="4" width="11" style="13"/>
    <col min="5" max="5" width="13.140625" style="14" customWidth="1"/>
    <col min="6" max="7" width="11.5703125" style="14" customWidth="1"/>
    <col min="8" max="8" width="13.140625" style="14" customWidth="1"/>
    <col min="9" max="9" width="19.140625" style="13" customWidth="1"/>
    <col min="10" max="11" width="11" style="13"/>
    <col min="12" max="12" width="11.7109375" style="13"/>
    <col min="13" max="16384" width="11" style="13"/>
  </cols>
  <sheetData>
    <row r="2" spans="2:9">
      <c r="B2" s="582"/>
      <c r="C2" s="582"/>
      <c r="D2" s="582"/>
      <c r="E2" s="582"/>
      <c r="F2" s="582"/>
      <c r="G2" s="582"/>
      <c r="H2" s="582"/>
      <c r="I2" s="582"/>
    </row>
    <row r="3" spans="2:9">
      <c r="B3" s="580" t="s">
        <v>385</v>
      </c>
      <c r="C3" s="580"/>
      <c r="D3" s="580"/>
      <c r="E3" s="580"/>
      <c r="F3" s="19"/>
      <c r="G3" s="19"/>
      <c r="H3" s="19"/>
      <c r="I3" s="19"/>
    </row>
    <row r="4" spans="2:9">
      <c r="B4" s="581" t="s">
        <v>386</v>
      </c>
      <c r="C4" s="581"/>
      <c r="D4" s="581"/>
      <c r="E4" s="581"/>
      <c r="F4" s="19"/>
      <c r="G4" s="19"/>
      <c r="H4" s="19"/>
      <c r="I4" s="19"/>
    </row>
    <row r="5" spans="2:9">
      <c r="B5" s="580" t="s">
        <v>387</v>
      </c>
      <c r="C5" s="580"/>
      <c r="D5" s="580"/>
      <c r="E5" s="580"/>
      <c r="F5" s="19"/>
      <c r="G5" s="19"/>
      <c r="H5" s="19"/>
      <c r="I5" s="19"/>
    </row>
    <row r="7" spans="2:9">
      <c r="B7" s="366" t="s">
        <v>158</v>
      </c>
      <c r="C7" s="366" t="s">
        <v>388</v>
      </c>
      <c r="D7" s="366" t="s">
        <v>389</v>
      </c>
      <c r="E7" s="367" t="s">
        <v>390</v>
      </c>
      <c r="F7" s="13"/>
      <c r="G7" s="13"/>
      <c r="H7" s="13"/>
    </row>
    <row r="8" spans="2:9">
      <c r="B8" s="583" t="s">
        <v>370</v>
      </c>
      <c r="C8" s="15">
        <v>2023</v>
      </c>
      <c r="D8" s="15">
        <v>2</v>
      </c>
      <c r="E8" s="16">
        <v>8509000</v>
      </c>
      <c r="F8" s="13"/>
      <c r="G8" s="13"/>
      <c r="H8" s="18"/>
    </row>
    <row r="9" spans="2:9">
      <c r="B9" s="583"/>
      <c r="C9" s="15">
        <v>2023</v>
      </c>
      <c r="D9" s="15">
        <v>3</v>
      </c>
      <c r="E9" s="16">
        <v>4954000</v>
      </c>
      <c r="F9" s="13"/>
      <c r="G9" s="13"/>
      <c r="H9" s="18"/>
    </row>
    <row r="10" spans="2:9">
      <c r="B10" s="583"/>
      <c r="C10" s="15">
        <v>2024</v>
      </c>
      <c r="D10" s="15">
        <v>1</v>
      </c>
      <c r="E10" s="16">
        <v>5545000</v>
      </c>
      <c r="F10" s="13"/>
      <c r="G10" s="13"/>
      <c r="H10" s="18"/>
    </row>
    <row r="11" spans="2:9">
      <c r="B11" s="583"/>
      <c r="C11" s="15">
        <v>2024</v>
      </c>
      <c r="D11" s="15">
        <v>2</v>
      </c>
      <c r="E11" s="16">
        <v>5645000</v>
      </c>
      <c r="F11" s="13"/>
      <c r="G11" s="13"/>
      <c r="H11" s="18"/>
    </row>
    <row r="12" spans="2:9">
      <c r="B12" s="583"/>
      <c r="C12" s="15">
        <v>2024</v>
      </c>
      <c r="D12" s="15">
        <v>3</v>
      </c>
      <c r="E12" s="16">
        <v>3768000</v>
      </c>
      <c r="F12" s="13"/>
      <c r="G12" s="13"/>
      <c r="H12" s="18"/>
    </row>
    <row r="13" spans="2:9">
      <c r="B13" s="579" t="s">
        <v>371</v>
      </c>
      <c r="C13" s="579"/>
      <c r="D13" s="579"/>
      <c r="E13" s="17">
        <f>SUM(E8:E12)</f>
        <v>28421000</v>
      </c>
      <c r="F13" s="13"/>
      <c r="G13" s="13"/>
      <c r="H13" s="13"/>
    </row>
    <row r="14" spans="2:9">
      <c r="B14" s="368" t="s">
        <v>472</v>
      </c>
      <c r="C14" s="15">
        <v>2024</v>
      </c>
      <c r="D14" s="15">
        <v>12</v>
      </c>
      <c r="E14" s="16">
        <v>127000</v>
      </c>
    </row>
    <row r="15" spans="2:9">
      <c r="B15" s="579" t="s">
        <v>371</v>
      </c>
      <c r="C15" s="579"/>
      <c r="D15" s="579"/>
      <c r="E15" s="17">
        <f>+E14</f>
        <v>127000</v>
      </c>
    </row>
  </sheetData>
  <mergeCells count="7">
    <mergeCell ref="B15:D15"/>
    <mergeCell ref="B5:E5"/>
    <mergeCell ref="B4:E4"/>
    <mergeCell ref="B3:E3"/>
    <mergeCell ref="B2:I2"/>
    <mergeCell ref="B13:D13"/>
    <mergeCell ref="B8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L31"/>
  <sheetViews>
    <sheetView showGridLines="0" workbookViewId="0">
      <selection activeCell="G12" sqref="G12"/>
    </sheetView>
  </sheetViews>
  <sheetFormatPr baseColWidth="10" defaultColWidth="11.42578125" defaultRowHeight="15"/>
  <cols>
    <col min="1" max="1" width="4.85546875" style="3" customWidth="1"/>
    <col min="2" max="2" width="38" style="3" customWidth="1"/>
    <col min="3" max="3" width="15.42578125" style="4" customWidth="1"/>
    <col min="4" max="4" width="11.28515625" style="5" customWidth="1"/>
    <col min="5" max="5" width="11.42578125" style="5" customWidth="1"/>
    <col min="6" max="6" width="12.7109375" style="5" customWidth="1"/>
    <col min="7" max="7" width="14.5703125" style="4" customWidth="1"/>
    <col min="8" max="8" width="11.42578125" style="3" customWidth="1"/>
    <col min="9" max="9" width="10.28515625" style="3" customWidth="1"/>
    <col min="10" max="16384" width="11.42578125" style="3"/>
  </cols>
  <sheetData>
    <row r="2" spans="2:11">
      <c r="B2" s="580" t="s">
        <v>385</v>
      </c>
      <c r="C2" s="580"/>
      <c r="D2" s="580"/>
      <c r="E2" s="580"/>
      <c r="F2" s="580"/>
      <c r="G2" s="580"/>
      <c r="H2" s="5"/>
      <c r="I2" s="5"/>
      <c r="J2" s="4"/>
      <c r="K2" s="4"/>
    </row>
    <row r="3" spans="2:11">
      <c r="B3" s="581" t="s">
        <v>386</v>
      </c>
      <c r="C3" s="581"/>
      <c r="D3" s="581"/>
      <c r="E3" s="581"/>
      <c r="F3" s="581"/>
      <c r="G3" s="581"/>
      <c r="H3" s="5"/>
      <c r="I3" s="5"/>
      <c r="J3" s="4"/>
      <c r="K3" s="4"/>
    </row>
    <row r="4" spans="2:11">
      <c r="B4" s="584" t="s">
        <v>475</v>
      </c>
      <c r="C4" s="584"/>
      <c r="D4" s="584"/>
      <c r="E4" s="584"/>
      <c r="F4" s="584"/>
      <c r="G4" s="584"/>
      <c r="H4" s="5"/>
      <c r="I4" s="5"/>
      <c r="J4" s="4"/>
      <c r="K4" s="4"/>
    </row>
    <row r="5" spans="2:11" ht="15.75" thickBot="1">
      <c r="D5" s="4"/>
      <c r="E5" s="4"/>
      <c r="F5" s="4"/>
      <c r="G5" s="5"/>
      <c r="H5" s="5"/>
      <c r="I5" s="5"/>
      <c r="J5" s="4"/>
      <c r="K5" s="4"/>
    </row>
    <row r="6" spans="2:11" s="1" customFormat="1" ht="50.25" customHeight="1" thickBot="1">
      <c r="B6" s="369" t="s">
        <v>399</v>
      </c>
      <c r="C6" s="370" t="s">
        <v>400</v>
      </c>
      <c r="D6" s="371" t="s">
        <v>401</v>
      </c>
      <c r="E6" s="371" t="s">
        <v>402</v>
      </c>
      <c r="F6" s="371" t="s">
        <v>403</v>
      </c>
      <c r="G6" s="372" t="s">
        <v>404</v>
      </c>
    </row>
    <row r="7" spans="2:11">
      <c r="B7" s="373" t="s">
        <v>405</v>
      </c>
      <c r="C7" s="374">
        <f>SUM(C8:C12)</f>
        <v>8986526</v>
      </c>
      <c r="D7" s="375">
        <v>60</v>
      </c>
      <c r="E7" s="375"/>
      <c r="F7" s="375">
        <v>60</v>
      </c>
      <c r="G7" s="374">
        <f>C7/F7</f>
        <v>149775.43333333332</v>
      </c>
    </row>
    <row r="8" spans="2:11">
      <c r="B8" s="3" t="s">
        <v>406</v>
      </c>
      <c r="C8" s="4">
        <v>806722</v>
      </c>
    </row>
    <row r="9" spans="2:11">
      <c r="B9" s="3" t="s">
        <v>407</v>
      </c>
      <c r="C9" s="4">
        <f>672268+588235</f>
        <v>1260503</v>
      </c>
    </row>
    <row r="10" spans="2:11">
      <c r="B10" s="3" t="s">
        <v>408</v>
      </c>
      <c r="C10" s="360">
        <f>588235+4203337</f>
        <v>4791572</v>
      </c>
    </row>
    <row r="11" spans="2:11">
      <c r="B11" s="362" t="s">
        <v>465</v>
      </c>
      <c r="C11" s="4">
        <v>1008403</v>
      </c>
    </row>
    <row r="12" spans="2:11">
      <c r="B12" s="362" t="s">
        <v>466</v>
      </c>
      <c r="C12" s="4">
        <f>168067+141176+411764+140336+257983</f>
        <v>1119326</v>
      </c>
    </row>
    <row r="14" spans="2:11">
      <c r="B14" s="373" t="s">
        <v>409</v>
      </c>
      <c r="C14" s="374">
        <f>SUM(C15:C18)</f>
        <v>8400000</v>
      </c>
      <c r="D14" s="374">
        <v>36</v>
      </c>
      <c r="E14" s="374">
        <f t="shared" ref="E14" si="0">SUM(E15:E18)</f>
        <v>0</v>
      </c>
      <c r="F14" s="374">
        <v>36</v>
      </c>
      <c r="G14" s="374">
        <f>C14/F14</f>
        <v>233333.33333333334</v>
      </c>
    </row>
    <row r="15" spans="2:11" ht="14.25" customHeight="1">
      <c r="B15" s="3" t="s">
        <v>410</v>
      </c>
      <c r="C15" s="361">
        <f>4800000+2280000</f>
        <v>7080000</v>
      </c>
    </row>
    <row r="16" spans="2:11" ht="14.25" customHeight="1">
      <c r="B16" s="7" t="s">
        <v>411</v>
      </c>
      <c r="C16" s="6">
        <v>300000</v>
      </c>
    </row>
    <row r="17" spans="2:12" ht="14.25" customHeight="1">
      <c r="B17" s="7" t="s">
        <v>411</v>
      </c>
      <c r="C17" s="6">
        <v>300000</v>
      </c>
      <c r="L17" s="362">
        <f>3*12</f>
        <v>36</v>
      </c>
    </row>
    <row r="18" spans="2:12" ht="14.25" customHeight="1">
      <c r="B18" s="7" t="s">
        <v>412</v>
      </c>
      <c r="C18" s="6">
        <v>720000</v>
      </c>
    </row>
    <row r="19" spans="2:12" hidden="1">
      <c r="B19" s="9" t="s">
        <v>413</v>
      </c>
      <c r="C19" s="10"/>
      <c r="D19" s="5">
        <v>36</v>
      </c>
      <c r="E19" s="11"/>
      <c r="F19" s="11"/>
      <c r="G19" s="10" t="e">
        <f>SUM(G20:G21)</f>
        <v>#REF!</v>
      </c>
    </row>
    <row r="20" spans="2:12" ht="14.25" hidden="1" customHeight="1">
      <c r="B20" s="3" t="s">
        <v>414</v>
      </c>
      <c r="C20" s="6"/>
      <c r="D20" s="5">
        <v>36</v>
      </c>
      <c r="E20" s="5">
        <v>40</v>
      </c>
      <c r="F20" s="5">
        <f>+D20-E20</f>
        <v>-4</v>
      </c>
      <c r="G20" s="4" t="e">
        <f>+#REF!/F20</f>
        <v>#REF!</v>
      </c>
    </row>
    <row r="22" spans="2:12" s="2" customFormat="1" ht="15.75">
      <c r="B22" s="376" t="s">
        <v>415</v>
      </c>
      <c r="C22" s="377">
        <f>+C7+C14</f>
        <v>17386526</v>
      </c>
      <c r="D22" s="377"/>
      <c r="E22" s="377">
        <v>0</v>
      </c>
      <c r="F22" s="377"/>
      <c r="G22" s="377">
        <f>+G14+G7</f>
        <v>383108.76666666666</v>
      </c>
      <c r="H22" s="363"/>
    </row>
    <row r="25" spans="2:12">
      <c r="E25" s="5" t="s">
        <v>157</v>
      </c>
    </row>
    <row r="29" spans="2:12">
      <c r="E29" s="8"/>
    </row>
    <row r="30" spans="2:12">
      <c r="E30" s="12"/>
    </row>
    <row r="31" spans="2:12">
      <c r="D31" s="12"/>
      <c r="E31" s="12"/>
    </row>
  </sheetData>
  <mergeCells count="3">
    <mergeCell ref="B2:G2"/>
    <mergeCell ref="B3:G3"/>
    <mergeCell ref="B4:G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26"/>
  <sheetViews>
    <sheetView showGridLines="0" workbookViewId="0">
      <selection activeCell="D21" sqref="D21"/>
    </sheetView>
  </sheetViews>
  <sheetFormatPr baseColWidth="10" defaultColWidth="11.42578125" defaultRowHeight="12.75"/>
  <cols>
    <col min="1" max="1" width="4.5703125" style="440" customWidth="1"/>
    <col min="2" max="2" width="53.5703125" style="440" customWidth="1"/>
    <col min="3" max="3" width="6.42578125" style="440" bestFit="1" customWidth="1"/>
    <col min="4" max="5" width="16.140625" style="444" bestFit="1" customWidth="1"/>
    <col min="6" max="6" width="14.7109375" style="440" bestFit="1" customWidth="1"/>
    <col min="7" max="7" width="20.85546875" style="440" bestFit="1" customWidth="1"/>
    <col min="8" max="8" width="16.42578125" style="440" bestFit="1" customWidth="1"/>
    <col min="9" max="16384" width="11.42578125" style="440"/>
  </cols>
  <sheetData>
    <row r="2" spans="2:8" ht="14.25" customHeight="1">
      <c r="B2" s="586" t="str">
        <f>+DEPRECIACION!B2</f>
        <v>JELCOM SOLUCIONES EMPRESARIALES</v>
      </c>
      <c r="C2" s="586"/>
      <c r="D2" s="586"/>
      <c r="E2" s="586"/>
      <c r="F2" s="441"/>
    </row>
    <row r="3" spans="2:8" ht="14.25" customHeight="1">
      <c r="B3" s="587" t="str">
        <f>+DEPRECIACION!B3</f>
        <v>NIT 901360819</v>
      </c>
      <c r="C3" s="587"/>
      <c r="D3" s="587"/>
      <c r="E3" s="587"/>
      <c r="F3" s="441"/>
    </row>
    <row r="4" spans="2:8" ht="16.5">
      <c r="B4" s="585" t="s">
        <v>549</v>
      </c>
      <c r="C4" s="585"/>
      <c r="D4" s="585"/>
      <c r="E4" s="585"/>
      <c r="F4" s="439"/>
    </row>
    <row r="5" spans="2:8" ht="14.25" customHeight="1">
      <c r="B5" s="442"/>
      <c r="C5" s="442"/>
      <c r="D5" s="443"/>
      <c r="E5" s="443"/>
      <c r="F5" s="441"/>
    </row>
    <row r="6" spans="2:8" ht="13.5" thickBot="1"/>
    <row r="7" spans="2:8" ht="14.25" customHeight="1" thickBot="1">
      <c r="B7" s="445" t="s">
        <v>479</v>
      </c>
      <c r="C7" s="446"/>
      <c r="D7" s="447" t="s">
        <v>553</v>
      </c>
      <c r="E7" s="447">
        <v>2023</v>
      </c>
      <c r="H7" s="448"/>
    </row>
    <row r="8" spans="2:8">
      <c r="B8" s="449"/>
      <c r="C8" s="450"/>
      <c r="D8" s="451"/>
      <c r="E8" s="451"/>
      <c r="H8" s="448"/>
    </row>
    <row r="9" spans="2:8" ht="18" customHeight="1">
      <c r="B9" s="588" t="s">
        <v>550</v>
      </c>
      <c r="C9" s="588"/>
      <c r="D9" s="588"/>
      <c r="E9" s="588"/>
      <c r="H9" s="448"/>
    </row>
    <row r="10" spans="2:8" ht="13.5" customHeight="1">
      <c r="B10" s="452"/>
      <c r="C10" s="452"/>
      <c r="D10" s="453"/>
      <c r="E10" s="453"/>
      <c r="H10" s="448"/>
    </row>
    <row r="11" spans="2:8">
      <c r="B11" s="439" t="s">
        <v>542</v>
      </c>
      <c r="C11" s="439"/>
      <c r="D11" s="454">
        <f t="shared" ref="D11:E11" si="0">+D12</f>
        <v>96769587</v>
      </c>
      <c r="E11" s="454">
        <f t="shared" si="0"/>
        <v>102813214</v>
      </c>
    </row>
    <row r="12" spans="2:8" ht="15" customHeight="1">
      <c r="B12" s="440" t="s">
        <v>543</v>
      </c>
      <c r="C12" s="439"/>
      <c r="D12" s="455">
        <f>+'NOTAS ERI'!AD10</f>
        <v>96769587</v>
      </c>
      <c r="E12" s="455">
        <f>+ERI!AU20</f>
        <v>102813214</v>
      </c>
    </row>
    <row r="13" spans="2:8">
      <c r="B13" s="439" t="s">
        <v>544</v>
      </c>
      <c r="D13" s="454">
        <f>-'NOTAS ERI'!AD38</f>
        <v>1160000</v>
      </c>
      <c r="E13" s="454">
        <v>0</v>
      </c>
    </row>
    <row r="15" spans="2:8">
      <c r="B15" s="439" t="s">
        <v>551</v>
      </c>
      <c r="C15" s="439"/>
      <c r="D15" s="454">
        <f>+D12-D13</f>
        <v>95609587</v>
      </c>
      <c r="E15" s="454">
        <f>+E12-E13</f>
        <v>102813214</v>
      </c>
    </row>
    <row r="16" spans="2:8">
      <c r="B16" s="456"/>
      <c r="C16" s="457">
        <v>5</v>
      </c>
    </row>
    <row r="18" spans="2:7">
      <c r="B18" s="439" t="s">
        <v>545</v>
      </c>
      <c r="C18" s="439"/>
      <c r="D18" s="454">
        <f>D15*C16/1000</f>
        <v>478047.935</v>
      </c>
      <c r="E18" s="454">
        <f>E15*C16/1000</f>
        <v>514066.07</v>
      </c>
      <c r="G18" s="458"/>
    </row>
    <row r="19" spans="2:7">
      <c r="B19" s="440" t="s">
        <v>546</v>
      </c>
      <c r="D19" s="455">
        <f>+D18*15%</f>
        <v>71707.19025</v>
      </c>
      <c r="E19" s="455">
        <f>+E18*15%</f>
        <v>77109.910499999998</v>
      </c>
      <c r="G19" s="458"/>
    </row>
    <row r="20" spans="2:7">
      <c r="B20" s="440" t="s">
        <v>547</v>
      </c>
      <c r="D20" s="462">
        <v>0</v>
      </c>
      <c r="E20" s="455">
        <v>0</v>
      </c>
    </row>
    <row r="22" spans="2:7">
      <c r="B22" s="459" t="s">
        <v>548</v>
      </c>
      <c r="C22" s="439"/>
      <c r="D22" s="454">
        <f>+D18+D19-D20</f>
        <v>549755.12525000004</v>
      </c>
      <c r="E22" s="454">
        <f>+E18+E19-E20</f>
        <v>591175.98050000006</v>
      </c>
    </row>
    <row r="23" spans="2:7">
      <c r="B23" s="440" t="s">
        <v>552</v>
      </c>
      <c r="D23" s="455">
        <f>+D18*15%</f>
        <v>71707.19025</v>
      </c>
      <c r="E23" s="455">
        <f>+E18*15%</f>
        <v>77109.910499999998</v>
      </c>
    </row>
    <row r="25" spans="2:7" ht="13.5" thickBot="1">
      <c r="B25" s="460" t="s">
        <v>539</v>
      </c>
      <c r="C25" s="439"/>
      <c r="D25" s="461">
        <f t="shared" ref="D25" si="1">+D22-D23</f>
        <v>478047.93500000006</v>
      </c>
      <c r="E25" s="461">
        <f t="shared" ref="E25" si="2">+E22-E23</f>
        <v>514066.07000000007</v>
      </c>
    </row>
    <row r="26" spans="2:7" ht="13.5" thickTop="1"/>
  </sheetData>
  <mergeCells count="4">
    <mergeCell ref="B4:E4"/>
    <mergeCell ref="B2:E2"/>
    <mergeCell ref="B3:E3"/>
    <mergeCell ref="B9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ESF</vt:lpstr>
      <vt:lpstr>ERI</vt:lpstr>
      <vt:lpstr>NOTAS ESF</vt:lpstr>
      <vt:lpstr>NOTAS ERI</vt:lpstr>
      <vt:lpstr>CER RETE FUENTE</vt:lpstr>
      <vt:lpstr>COMPARATIVO RENTA</vt:lpstr>
      <vt:lpstr>CXC</vt:lpstr>
      <vt:lpstr>CXP</vt:lpstr>
      <vt:lpstr>POR PAGAR</vt:lpstr>
      <vt:lpstr>MOVIMIENTO</vt:lpstr>
      <vt:lpstr>DIAN</vt:lpstr>
      <vt:lpstr>DEPRECIACION</vt:lpstr>
      <vt:lpstr>IND Y 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 PERSONAL</dc:creator>
  <cp:lastModifiedBy>Mateo Salazar</cp:lastModifiedBy>
  <cp:lastPrinted>2016-07-15T22:07:00Z</cp:lastPrinted>
  <dcterms:created xsi:type="dcterms:W3CDTF">2007-09-03T20:57:00Z</dcterms:created>
  <dcterms:modified xsi:type="dcterms:W3CDTF">2026-03-13T13:11:56Z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ABE7DC5955774469BE8BB7EC62724479_12</vt:lpwstr>
  </property>
  <property fmtid="{D5CDD505-2E9C-101B-9397-08002B2CF9AE}" pid="3" name="KSOProductBuildVer">
    <vt:lpwstr>3082-12.2.0.18911</vt:lpwstr>
  </property>
</Properties>
</file>